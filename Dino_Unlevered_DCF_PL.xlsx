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CF\"/>
    </mc:Choice>
  </mc:AlternateContent>
  <xr:revisionPtr revIDLastSave="0" documentId="8_{9A9C3AE8-C6B1-4960-BA76-B4F0CFF945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nel" sheetId="1" r:id="rId1"/>
    <sheet name="Założenia" sheetId="2" r:id="rId2"/>
    <sheet name="Dane źródłowe" sheetId="3" r:id="rId3"/>
    <sheet name="Czynniki operacyjne" sheetId="4" r:id="rId4"/>
    <sheet name="Model 3 sprawozdań" sheetId="5" r:id="rId5"/>
    <sheet name="Dług i WACC" sheetId="6" r:id="rId6"/>
    <sheet name="Wycena DCF" sheetId="7" r:id="rId7"/>
    <sheet name="Kontrol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5" l="1"/>
  <c r="D34" i="5"/>
  <c r="E34" i="5"/>
  <c r="F34" i="5"/>
  <c r="G34" i="5"/>
  <c r="C90" i="5"/>
  <c r="D90" i="5"/>
  <c r="E90" i="5"/>
  <c r="F90" i="5"/>
  <c r="G90" i="5"/>
  <c r="H90" i="5"/>
  <c r="I90" i="5"/>
  <c r="J90" i="5"/>
  <c r="K90" i="5"/>
  <c r="L90" i="5"/>
  <c r="B90" i="5"/>
  <c r="D33" i="5"/>
  <c r="E33" i="5"/>
  <c r="F33" i="5"/>
  <c r="G33" i="5"/>
  <c r="C33" i="5"/>
  <c r="B33" i="5"/>
  <c r="B34" i="5"/>
  <c r="C71" i="3"/>
  <c r="D71" i="3"/>
  <c r="E71" i="3"/>
  <c r="F71" i="3"/>
  <c r="G71" i="3"/>
  <c r="B71" i="3"/>
  <c r="H64" i="3" s="1"/>
  <c r="C65" i="3"/>
  <c r="D65" i="3"/>
  <c r="E65" i="3"/>
  <c r="F65" i="3"/>
  <c r="G65" i="3"/>
  <c r="B65" i="3"/>
  <c r="I13" i="4"/>
  <c r="J13" i="4"/>
  <c r="K13" i="4"/>
  <c r="L13" i="4"/>
  <c r="I10" i="4"/>
  <c r="J10" i="4"/>
  <c r="K10" i="4" s="1"/>
  <c r="L10" i="4" s="1"/>
  <c r="H10" i="4"/>
  <c r="C38" i="5"/>
  <c r="D38" i="5"/>
  <c r="E38" i="5"/>
  <c r="F38" i="5"/>
  <c r="G38" i="5"/>
  <c r="B38" i="5"/>
  <c r="I11" i="4"/>
  <c r="J11" i="4" s="1"/>
  <c r="K11" i="4" s="1"/>
  <c r="L11" i="4" s="1"/>
  <c r="H11" i="4"/>
  <c r="H13" i="4"/>
  <c r="H14" i="4" s="1"/>
  <c r="B9" i="2"/>
  <c r="F16" i="7"/>
  <c r="E16" i="7"/>
  <c r="D16" i="7"/>
  <c r="C16" i="7"/>
  <c r="B16" i="7"/>
  <c r="I8" i="7"/>
  <c r="B6" i="7"/>
  <c r="I16" i="7" s="1"/>
  <c r="L36" i="6"/>
  <c r="K36" i="6"/>
  <c r="J36" i="6"/>
  <c r="I36" i="6"/>
  <c r="H36" i="6"/>
  <c r="L34" i="6"/>
  <c r="K34" i="6"/>
  <c r="J34" i="6"/>
  <c r="I34" i="6"/>
  <c r="H34" i="6"/>
  <c r="G34" i="6"/>
  <c r="F34" i="6"/>
  <c r="E34" i="6"/>
  <c r="D34" i="6"/>
  <c r="C34" i="6"/>
  <c r="B34" i="6"/>
  <c r="L33" i="6"/>
  <c r="K33" i="6"/>
  <c r="J33" i="6"/>
  <c r="I33" i="6"/>
  <c r="H33" i="6"/>
  <c r="G33" i="6"/>
  <c r="F33" i="6"/>
  <c r="E33" i="6"/>
  <c r="D33" i="6"/>
  <c r="C33" i="6"/>
  <c r="B33" i="6"/>
  <c r="L32" i="6"/>
  <c r="K32" i="6"/>
  <c r="J32" i="6"/>
  <c r="I32" i="6"/>
  <c r="H32" i="6"/>
  <c r="L30" i="6"/>
  <c r="K30" i="6"/>
  <c r="J30" i="6"/>
  <c r="I30" i="6"/>
  <c r="H30" i="6"/>
  <c r="G30" i="6"/>
  <c r="F30" i="6"/>
  <c r="E30" i="6"/>
  <c r="D30" i="6"/>
  <c r="C30" i="6"/>
  <c r="B30" i="6"/>
  <c r="G19" i="6"/>
  <c r="F19" i="6"/>
  <c r="E19" i="6"/>
  <c r="D19" i="6"/>
  <c r="C19" i="6"/>
  <c r="B19" i="6"/>
  <c r="G17" i="6"/>
  <c r="G20" i="6" s="1"/>
  <c r="F17" i="6"/>
  <c r="E17" i="6"/>
  <c r="E20" i="6" s="1"/>
  <c r="D17" i="6"/>
  <c r="D20" i="6" s="1"/>
  <c r="C17" i="6"/>
  <c r="B17" i="6"/>
  <c r="B20" i="6" s="1"/>
  <c r="G11" i="6"/>
  <c r="F11" i="6"/>
  <c r="E11" i="6"/>
  <c r="D11" i="6"/>
  <c r="C11" i="6"/>
  <c r="C78" i="5" s="1"/>
  <c r="B11" i="6"/>
  <c r="G10" i="6"/>
  <c r="H10" i="6" s="1"/>
  <c r="F10" i="6"/>
  <c r="F69" i="5" s="1"/>
  <c r="E10" i="6"/>
  <c r="D10" i="6"/>
  <c r="D69" i="5" s="1"/>
  <c r="C10" i="6"/>
  <c r="C69" i="5" s="1"/>
  <c r="B10" i="6"/>
  <c r="G9" i="6"/>
  <c r="F9" i="6"/>
  <c r="F77" i="5" s="1"/>
  <c r="E9" i="6"/>
  <c r="E77" i="5" s="1"/>
  <c r="D9" i="6"/>
  <c r="D77" i="5" s="1"/>
  <c r="C9" i="6"/>
  <c r="B9" i="6"/>
  <c r="G8" i="6"/>
  <c r="G68" i="5" s="1"/>
  <c r="F8" i="6"/>
  <c r="E8" i="6"/>
  <c r="D8" i="6"/>
  <c r="D68" i="5" s="1"/>
  <c r="C8" i="6"/>
  <c r="B8" i="6"/>
  <c r="G7" i="6"/>
  <c r="F7" i="6"/>
  <c r="F76" i="5" s="1"/>
  <c r="E7" i="6"/>
  <c r="E12" i="6" s="1"/>
  <c r="D7" i="6"/>
  <c r="D76" i="5" s="1"/>
  <c r="C7" i="6"/>
  <c r="B7" i="6"/>
  <c r="G6" i="6"/>
  <c r="F6" i="6"/>
  <c r="E6" i="6"/>
  <c r="D6" i="6"/>
  <c r="D67" i="5" s="1"/>
  <c r="C6" i="6"/>
  <c r="C67" i="5" s="1"/>
  <c r="B6" i="6"/>
  <c r="G81" i="5"/>
  <c r="H81" i="5" s="1"/>
  <c r="I81" i="5" s="1"/>
  <c r="J81" i="5" s="1"/>
  <c r="K81" i="5" s="1"/>
  <c r="L81" i="5" s="1"/>
  <c r="F81" i="5"/>
  <c r="E81" i="5"/>
  <c r="D81" i="5"/>
  <c r="C81" i="5"/>
  <c r="B81" i="5"/>
  <c r="G80" i="5"/>
  <c r="H80" i="5" s="1"/>
  <c r="I80" i="5" s="1"/>
  <c r="J80" i="5" s="1"/>
  <c r="K80" i="5" s="1"/>
  <c r="L80" i="5" s="1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B78" i="5"/>
  <c r="G77" i="5"/>
  <c r="C77" i="5"/>
  <c r="B77" i="5"/>
  <c r="G76" i="5"/>
  <c r="C76" i="5"/>
  <c r="B76" i="5"/>
  <c r="G75" i="5"/>
  <c r="F75" i="5"/>
  <c r="E75" i="5"/>
  <c r="D75" i="5"/>
  <c r="C75" i="5"/>
  <c r="B75" i="5"/>
  <c r="H73" i="5"/>
  <c r="I73" i="5" s="1"/>
  <c r="J73" i="5" s="1"/>
  <c r="K73" i="5" s="1"/>
  <c r="L73" i="5" s="1"/>
  <c r="G73" i="5"/>
  <c r="F73" i="5"/>
  <c r="E73" i="5"/>
  <c r="D73" i="5"/>
  <c r="C73" i="5"/>
  <c r="B73" i="5"/>
  <c r="G72" i="5"/>
  <c r="H72" i="5" s="1"/>
  <c r="I72" i="5" s="1"/>
  <c r="J72" i="5" s="1"/>
  <c r="K72" i="5" s="1"/>
  <c r="L72" i="5" s="1"/>
  <c r="F72" i="5"/>
  <c r="E72" i="5"/>
  <c r="D72" i="5"/>
  <c r="C72" i="5"/>
  <c r="B72" i="5"/>
  <c r="G71" i="5"/>
  <c r="H71" i="5" s="1"/>
  <c r="I71" i="5" s="1"/>
  <c r="J71" i="5" s="1"/>
  <c r="K71" i="5" s="1"/>
  <c r="L71" i="5" s="1"/>
  <c r="F71" i="5"/>
  <c r="E71" i="5"/>
  <c r="D71" i="5"/>
  <c r="C71" i="5"/>
  <c r="B71" i="5"/>
  <c r="G70" i="5"/>
  <c r="H70" i="5" s="1"/>
  <c r="I70" i="5" s="1"/>
  <c r="J70" i="5" s="1"/>
  <c r="K70" i="5" s="1"/>
  <c r="L70" i="5" s="1"/>
  <c r="F70" i="5"/>
  <c r="E70" i="5"/>
  <c r="D70" i="5"/>
  <c r="C70" i="5"/>
  <c r="B70" i="5"/>
  <c r="G69" i="5"/>
  <c r="E69" i="5"/>
  <c r="B69" i="5"/>
  <c r="F68" i="5"/>
  <c r="E68" i="5"/>
  <c r="C68" i="5"/>
  <c r="B68" i="5"/>
  <c r="G67" i="5"/>
  <c r="F67" i="5"/>
  <c r="E67" i="5"/>
  <c r="B67" i="5"/>
  <c r="B88" i="5" s="1"/>
  <c r="G64" i="5"/>
  <c r="H64" i="5" s="1"/>
  <c r="I64" i="5" s="1"/>
  <c r="J64" i="5" s="1"/>
  <c r="K64" i="5" s="1"/>
  <c r="L64" i="5" s="1"/>
  <c r="F64" i="5"/>
  <c r="E64" i="5"/>
  <c r="D64" i="5"/>
  <c r="C64" i="5"/>
  <c r="B64" i="5"/>
  <c r="G63" i="5"/>
  <c r="H63" i="5" s="1"/>
  <c r="I63" i="5" s="1"/>
  <c r="J63" i="5" s="1"/>
  <c r="K63" i="5" s="1"/>
  <c r="L63" i="5" s="1"/>
  <c r="F63" i="5"/>
  <c r="E63" i="5"/>
  <c r="D63" i="5"/>
  <c r="C63" i="5"/>
  <c r="B63" i="5"/>
  <c r="G62" i="5"/>
  <c r="F62" i="5"/>
  <c r="E62" i="5"/>
  <c r="D62" i="5"/>
  <c r="C62" i="5"/>
  <c r="B62" i="5"/>
  <c r="G61" i="5"/>
  <c r="H61" i="5" s="1"/>
  <c r="I61" i="5" s="1"/>
  <c r="J61" i="5" s="1"/>
  <c r="K61" i="5" s="1"/>
  <c r="L61" i="5" s="1"/>
  <c r="F61" i="5"/>
  <c r="E61" i="5"/>
  <c r="D61" i="5"/>
  <c r="C61" i="5"/>
  <c r="B61" i="5"/>
  <c r="G60" i="5"/>
  <c r="F60" i="5"/>
  <c r="E60" i="5"/>
  <c r="E65" i="5" s="1"/>
  <c r="D60" i="5"/>
  <c r="C60" i="5"/>
  <c r="B60" i="5"/>
  <c r="G55" i="5"/>
  <c r="H55" i="5" s="1"/>
  <c r="I55" i="5" s="1"/>
  <c r="J55" i="5" s="1"/>
  <c r="K55" i="5" s="1"/>
  <c r="L55" i="5" s="1"/>
  <c r="F55" i="5"/>
  <c r="E55" i="5"/>
  <c r="D55" i="5"/>
  <c r="C55" i="5"/>
  <c r="B55" i="5"/>
  <c r="G54" i="5"/>
  <c r="H54" i="5" s="1"/>
  <c r="I54" i="5" s="1"/>
  <c r="J54" i="5" s="1"/>
  <c r="K54" i="5" s="1"/>
  <c r="L54" i="5" s="1"/>
  <c r="F54" i="5"/>
  <c r="E54" i="5"/>
  <c r="D54" i="5"/>
  <c r="C54" i="5"/>
  <c r="B54" i="5"/>
  <c r="G53" i="5"/>
  <c r="H53" i="5" s="1"/>
  <c r="I53" i="5" s="1"/>
  <c r="J53" i="5" s="1"/>
  <c r="K53" i="5" s="1"/>
  <c r="L53" i="5" s="1"/>
  <c r="F53" i="5"/>
  <c r="E53" i="5"/>
  <c r="D53" i="5"/>
  <c r="C53" i="5"/>
  <c r="B53" i="5"/>
  <c r="G52" i="5"/>
  <c r="F52" i="5"/>
  <c r="E52" i="5"/>
  <c r="D52" i="5"/>
  <c r="C52" i="5"/>
  <c r="C19" i="4" s="1"/>
  <c r="B52" i="5"/>
  <c r="G51" i="5"/>
  <c r="F51" i="5"/>
  <c r="F19" i="4" s="1"/>
  <c r="E51" i="5"/>
  <c r="E19" i="4" s="1"/>
  <c r="D51" i="5"/>
  <c r="D19" i="4" s="1"/>
  <c r="C51" i="5"/>
  <c r="B51" i="5"/>
  <c r="G49" i="5"/>
  <c r="H49" i="5" s="1"/>
  <c r="I49" i="5" s="1"/>
  <c r="J49" i="5" s="1"/>
  <c r="K49" i="5" s="1"/>
  <c r="L49" i="5" s="1"/>
  <c r="F49" i="5"/>
  <c r="E49" i="5"/>
  <c r="D49" i="5"/>
  <c r="C49" i="5"/>
  <c r="B49" i="5"/>
  <c r="G48" i="5"/>
  <c r="H48" i="5" s="1"/>
  <c r="I48" i="5" s="1"/>
  <c r="J48" i="5" s="1"/>
  <c r="K48" i="5" s="1"/>
  <c r="L48" i="5" s="1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C50" i="5" s="1"/>
  <c r="B46" i="5"/>
  <c r="G44" i="5"/>
  <c r="F44" i="5"/>
  <c r="F56" i="5" s="1"/>
  <c r="F13" i="6" s="1"/>
  <c r="E44" i="5"/>
  <c r="D44" i="5"/>
  <c r="C44" i="5"/>
  <c r="C56" i="5" s="1"/>
  <c r="C13" i="6" s="1"/>
  <c r="B44" i="5"/>
  <c r="B56" i="5" s="1"/>
  <c r="B13" i="6" s="1"/>
  <c r="H43" i="5"/>
  <c r="G43" i="5"/>
  <c r="F43" i="5"/>
  <c r="E43" i="5"/>
  <c r="D43" i="5"/>
  <c r="C43" i="5"/>
  <c r="B43" i="5"/>
  <c r="L40" i="5"/>
  <c r="K40" i="5"/>
  <c r="J40" i="5"/>
  <c r="I40" i="5"/>
  <c r="H40" i="5"/>
  <c r="L39" i="5"/>
  <c r="K39" i="5"/>
  <c r="J39" i="5"/>
  <c r="I39" i="5"/>
  <c r="H39" i="5"/>
  <c r="G39" i="5"/>
  <c r="F39" i="5"/>
  <c r="E39" i="5"/>
  <c r="D39" i="5"/>
  <c r="C39" i="5"/>
  <c r="B39" i="5"/>
  <c r="G40" i="5"/>
  <c r="L36" i="5"/>
  <c r="K36" i="5"/>
  <c r="J36" i="5"/>
  <c r="I36" i="5"/>
  <c r="H36" i="5"/>
  <c r="E36" i="5"/>
  <c r="B36" i="5"/>
  <c r="B37" i="5" s="1"/>
  <c r="G35" i="5"/>
  <c r="F35" i="5"/>
  <c r="F36" i="5" s="1"/>
  <c r="E35" i="5"/>
  <c r="D35" i="5"/>
  <c r="C35" i="5"/>
  <c r="C36" i="5" s="1"/>
  <c r="C37" i="5" s="1"/>
  <c r="B35" i="5"/>
  <c r="G27" i="5"/>
  <c r="F27" i="5"/>
  <c r="E27" i="5"/>
  <c r="D27" i="5"/>
  <c r="C27" i="5"/>
  <c r="B27" i="5"/>
  <c r="G25" i="5"/>
  <c r="F25" i="5"/>
  <c r="E25" i="5"/>
  <c r="D25" i="5"/>
  <c r="C25" i="5"/>
  <c r="B25" i="5"/>
  <c r="L24" i="5"/>
  <c r="K24" i="5"/>
  <c r="J24" i="5"/>
  <c r="I24" i="5"/>
  <c r="H24" i="5"/>
  <c r="L23" i="5"/>
  <c r="K23" i="5"/>
  <c r="J23" i="5"/>
  <c r="I23" i="5"/>
  <c r="H23" i="5"/>
  <c r="H20" i="5"/>
  <c r="G20" i="5"/>
  <c r="F20" i="5"/>
  <c r="E20" i="5"/>
  <c r="D20" i="5"/>
  <c r="C20" i="5"/>
  <c r="B20" i="5"/>
  <c r="G17" i="5"/>
  <c r="G32" i="5" s="1"/>
  <c r="F17" i="5"/>
  <c r="F32" i="5" s="1"/>
  <c r="E17" i="5"/>
  <c r="E32" i="5" s="1"/>
  <c r="D17" i="5"/>
  <c r="D32" i="5" s="1"/>
  <c r="C17" i="5"/>
  <c r="C32" i="5" s="1"/>
  <c r="B17" i="5"/>
  <c r="B32" i="5" s="1"/>
  <c r="H14" i="5"/>
  <c r="I14" i="5" s="1"/>
  <c r="J14" i="5" s="1"/>
  <c r="K14" i="5" s="1"/>
  <c r="L14" i="5" s="1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8" i="5"/>
  <c r="F8" i="5"/>
  <c r="E8" i="5"/>
  <c r="D8" i="5"/>
  <c r="C8" i="5"/>
  <c r="B8" i="5"/>
  <c r="G6" i="5"/>
  <c r="F6" i="5"/>
  <c r="E6" i="5"/>
  <c r="F7" i="5" s="1"/>
  <c r="D6" i="5"/>
  <c r="C6" i="5"/>
  <c r="B6" i="5"/>
  <c r="B21" i="1" s="1"/>
  <c r="F18" i="4"/>
  <c r="L15" i="4"/>
  <c r="K15" i="4"/>
  <c r="J15" i="4"/>
  <c r="I15" i="4"/>
  <c r="H15" i="4"/>
  <c r="B15" i="4"/>
  <c r="E14" i="4"/>
  <c r="G13" i="4"/>
  <c r="G15" i="4" s="1"/>
  <c r="F13" i="4"/>
  <c r="F11" i="4" s="1"/>
  <c r="E13" i="4"/>
  <c r="E15" i="4" s="1"/>
  <c r="D13" i="4"/>
  <c r="D15" i="4" s="1"/>
  <c r="C13" i="4"/>
  <c r="C14" i="4" s="1"/>
  <c r="B13" i="4"/>
  <c r="G8" i="4"/>
  <c r="G9" i="4" s="1"/>
  <c r="F8" i="4"/>
  <c r="F9" i="4" s="1"/>
  <c r="E8" i="4"/>
  <c r="E9" i="4" s="1"/>
  <c r="D8" i="4"/>
  <c r="D9" i="4" s="1"/>
  <c r="C8" i="4"/>
  <c r="B8" i="4"/>
  <c r="L7" i="4"/>
  <c r="K7" i="4"/>
  <c r="J7" i="4"/>
  <c r="I7" i="4"/>
  <c r="H7" i="4"/>
  <c r="C7" i="4"/>
  <c r="H6" i="4"/>
  <c r="I6" i="4" s="1"/>
  <c r="G6" i="4"/>
  <c r="G7" i="4" s="1"/>
  <c r="F6" i="4"/>
  <c r="E6" i="4"/>
  <c r="E7" i="4" s="1"/>
  <c r="D6" i="4"/>
  <c r="D7" i="4" s="1"/>
  <c r="C6" i="4"/>
  <c r="B6" i="4"/>
  <c r="B11" i="4" s="1"/>
  <c r="G94" i="3"/>
  <c r="G10" i="4" s="1"/>
  <c r="F94" i="3"/>
  <c r="F10" i="4" s="1"/>
  <c r="E94" i="3"/>
  <c r="E10" i="4" s="1"/>
  <c r="D94" i="3"/>
  <c r="D10" i="4" s="1"/>
  <c r="C94" i="3"/>
  <c r="C10" i="4" s="1"/>
  <c r="B94" i="3"/>
  <c r="B10" i="4" s="1"/>
  <c r="G22" i="2"/>
  <c r="G24" i="6" s="1"/>
  <c r="F22" i="2"/>
  <c r="F24" i="6" s="1"/>
  <c r="E22" i="2"/>
  <c r="E24" i="6" s="1"/>
  <c r="D22" i="2"/>
  <c r="D24" i="6" s="1"/>
  <c r="C22" i="2"/>
  <c r="C24" i="6" s="1"/>
  <c r="B22" i="2"/>
  <c r="B24" i="6" s="1"/>
  <c r="G21" i="2"/>
  <c r="G32" i="6" s="1"/>
  <c r="G35" i="6" s="1"/>
  <c r="F21" i="2"/>
  <c r="F32" i="6" s="1"/>
  <c r="E21" i="2"/>
  <c r="E32" i="6" s="1"/>
  <c r="D21" i="2"/>
  <c r="D32" i="6" s="1"/>
  <c r="C21" i="2"/>
  <c r="C32" i="6" s="1"/>
  <c r="B21" i="2"/>
  <c r="B32" i="6" s="1"/>
  <c r="G20" i="2"/>
  <c r="G23" i="6" s="1"/>
  <c r="F20" i="2"/>
  <c r="F23" i="6" s="1"/>
  <c r="E20" i="2"/>
  <c r="E23" i="6" s="1"/>
  <c r="D20" i="2"/>
  <c r="D23" i="6" s="1"/>
  <c r="C20" i="2"/>
  <c r="C23" i="6" s="1"/>
  <c r="B20" i="2"/>
  <c r="B23" i="6" s="1"/>
  <c r="B17" i="2"/>
  <c r="E18" i="1" s="1"/>
  <c r="B10" i="2"/>
  <c r="B27" i="7"/>
  <c r="G7" i="1" s="1"/>
  <c r="B26" i="1"/>
  <c r="B25" i="1"/>
  <c r="B24" i="1"/>
  <c r="D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B19" i="4" l="1"/>
  <c r="G19" i="4"/>
  <c r="B46" i="2"/>
  <c r="H8" i="6" s="1"/>
  <c r="C15" i="5"/>
  <c r="C65" i="5"/>
  <c r="F20" i="6"/>
  <c r="F9" i="5"/>
  <c r="F10" i="5" s="1"/>
  <c r="F88" i="5"/>
  <c r="E50" i="5"/>
  <c r="F40" i="5"/>
  <c r="F41" i="5" s="1"/>
  <c r="E18" i="4"/>
  <c r="E7" i="5"/>
  <c r="F50" i="5"/>
  <c r="F65" i="5"/>
  <c r="F36" i="6" s="1"/>
  <c r="F37" i="6" s="1"/>
  <c r="B65" i="5"/>
  <c r="B50" i="5"/>
  <c r="B58" i="5" s="1"/>
  <c r="G15" i="5"/>
  <c r="C26" i="1" s="1"/>
  <c r="E40" i="5"/>
  <c r="E41" i="5" s="1"/>
  <c r="B40" i="5"/>
  <c r="B41" i="5" s="1"/>
  <c r="C20" i="6"/>
  <c r="I6" i="7"/>
  <c r="E76" i="5"/>
  <c r="F15" i="4"/>
  <c r="B15" i="5"/>
  <c r="B16" i="5" s="1"/>
  <c r="D65" i="5"/>
  <c r="B12" i="6"/>
  <c r="C88" i="5"/>
  <c r="C89" i="5" s="1"/>
  <c r="D11" i="4"/>
  <c r="F37" i="5"/>
  <c r="D50" i="5"/>
  <c r="E15" i="5"/>
  <c r="E16" i="5" s="1"/>
  <c r="B22" i="1"/>
  <c r="C9" i="4"/>
  <c r="F15" i="5"/>
  <c r="F16" i="5" s="1"/>
  <c r="D15" i="5"/>
  <c r="D16" i="5" s="1"/>
  <c r="B23" i="1"/>
  <c r="B57" i="5"/>
  <c r="H11" i="6"/>
  <c r="H78" i="5" s="1"/>
  <c r="E88" i="5"/>
  <c r="E6" i="8" s="1"/>
  <c r="B82" i="5"/>
  <c r="B83" i="5" s="1"/>
  <c r="E37" i="5"/>
  <c r="F74" i="5"/>
  <c r="G23" i="2"/>
  <c r="J35" i="6"/>
  <c r="B35" i="6"/>
  <c r="D35" i="6"/>
  <c r="I9" i="7"/>
  <c r="L35" i="6"/>
  <c r="C35" i="6"/>
  <c r="K35" i="6"/>
  <c r="I35" i="6"/>
  <c r="F35" i="6"/>
  <c r="B23" i="2"/>
  <c r="B18" i="1"/>
  <c r="E23" i="2"/>
  <c r="E35" i="6"/>
  <c r="E25" i="6"/>
  <c r="C18" i="1"/>
  <c r="F25" i="6"/>
  <c r="H35" i="6"/>
  <c r="G25" i="6"/>
  <c r="G16" i="4"/>
  <c r="B7" i="8"/>
  <c r="B27" i="6"/>
  <c r="F12" i="4"/>
  <c r="H8" i="4"/>
  <c r="H9" i="4" s="1"/>
  <c r="D18" i="5"/>
  <c r="C23" i="1"/>
  <c r="I8" i="4"/>
  <c r="F18" i="5"/>
  <c r="F16" i="4"/>
  <c r="C7" i="8"/>
  <c r="C27" i="6"/>
  <c r="C16" i="5"/>
  <c r="C16" i="4"/>
  <c r="C22" i="1"/>
  <c r="C18" i="5"/>
  <c r="D23" i="2"/>
  <c r="F7" i="4"/>
  <c r="C11" i="4"/>
  <c r="C12" i="4" s="1"/>
  <c r="D14" i="4"/>
  <c r="B9" i="5"/>
  <c r="B10" i="5" s="1"/>
  <c r="D36" i="5"/>
  <c r="D37" i="5" s="1"/>
  <c r="D56" i="5"/>
  <c r="B6" i="8"/>
  <c r="B26" i="6"/>
  <c r="E26" i="6"/>
  <c r="C9" i="5"/>
  <c r="C10" i="5" s="1"/>
  <c r="C57" i="5"/>
  <c r="C58" i="5" s="1"/>
  <c r="B36" i="6"/>
  <c r="B37" i="6" s="1"/>
  <c r="B25" i="7"/>
  <c r="L24" i="6"/>
  <c r="K24" i="6"/>
  <c r="J24" i="6"/>
  <c r="I24" i="6"/>
  <c r="H24" i="6"/>
  <c r="F23" i="2"/>
  <c r="J6" i="4"/>
  <c r="E11" i="4"/>
  <c r="E12" i="4" s="1"/>
  <c r="F14" i="4"/>
  <c r="C15" i="4"/>
  <c r="B18" i="4"/>
  <c r="D9" i="5"/>
  <c r="D10" i="5" s="1"/>
  <c r="G41" i="5"/>
  <c r="F7" i="8"/>
  <c r="F27" i="6"/>
  <c r="G50" i="5"/>
  <c r="C36" i="6"/>
  <c r="C37" i="6" s="1"/>
  <c r="E36" i="6"/>
  <c r="E37" i="6" s="1"/>
  <c r="G88" i="5"/>
  <c r="G74" i="5"/>
  <c r="B74" i="5"/>
  <c r="D12" i="6"/>
  <c r="L37" i="6"/>
  <c r="K37" i="6"/>
  <c r="J37" i="6"/>
  <c r="I37" i="6"/>
  <c r="H37" i="6"/>
  <c r="G14" i="4"/>
  <c r="C18" i="4"/>
  <c r="C7" i="5"/>
  <c r="E9" i="5"/>
  <c r="E10" i="5" s="1"/>
  <c r="G36" i="5"/>
  <c r="G37" i="5" s="1"/>
  <c r="C40" i="5"/>
  <c r="C41" i="5" s="1"/>
  <c r="E56" i="5"/>
  <c r="E74" i="5"/>
  <c r="H18" i="6"/>
  <c r="H22" i="5" s="1"/>
  <c r="G82" i="5"/>
  <c r="G83" i="5" s="1"/>
  <c r="B15" i="6"/>
  <c r="B21" i="6" s="1"/>
  <c r="B31" i="6" s="1"/>
  <c r="B25" i="6"/>
  <c r="G11" i="4"/>
  <c r="G12" i="4" s="1"/>
  <c r="D18" i="4"/>
  <c r="D7" i="5"/>
  <c r="D40" i="5"/>
  <c r="D41" i="5" s="1"/>
  <c r="F57" i="5"/>
  <c r="F58" i="5" s="1"/>
  <c r="G56" i="5"/>
  <c r="G13" i="6" s="1"/>
  <c r="E82" i="5"/>
  <c r="E83" i="5" s="1"/>
  <c r="F12" i="6"/>
  <c r="F15" i="6" s="1"/>
  <c r="H9" i="6"/>
  <c r="H77" i="5" s="1"/>
  <c r="H69" i="5"/>
  <c r="C25" i="6"/>
  <c r="G9" i="5"/>
  <c r="G10" i="5" s="1"/>
  <c r="B89" i="5"/>
  <c r="F89" i="5"/>
  <c r="H7" i="6"/>
  <c r="H76" i="5" s="1"/>
  <c r="G12" i="6"/>
  <c r="H6" i="6"/>
  <c r="D25" i="6"/>
  <c r="H60" i="5"/>
  <c r="G65" i="5"/>
  <c r="C74" i="5"/>
  <c r="F18" i="1"/>
  <c r="C23" i="2"/>
  <c r="G18" i="4"/>
  <c r="G7" i="5"/>
  <c r="D88" i="5"/>
  <c r="C12" i="6"/>
  <c r="B14" i="6"/>
  <c r="B28" i="6" s="1"/>
  <c r="I17" i="7"/>
  <c r="I15" i="7"/>
  <c r="C82" i="5"/>
  <c r="C83" i="5" s="1"/>
  <c r="I18" i="7"/>
  <c r="D74" i="5"/>
  <c r="D82" i="5"/>
  <c r="D83" i="5" s="1"/>
  <c r="I7" i="7"/>
  <c r="I14" i="7"/>
  <c r="I10" i="7"/>
  <c r="F82" i="5"/>
  <c r="F83" i="5" s="1"/>
  <c r="F84" i="5" s="1"/>
  <c r="F85" i="5" s="1"/>
  <c r="H38" i="5" l="1"/>
  <c r="H41" i="5" s="1"/>
  <c r="C46" i="2"/>
  <c r="I9" i="6" s="1"/>
  <c r="I77" i="5" s="1"/>
  <c r="F21" i="6"/>
  <c r="F31" i="6" s="1"/>
  <c r="F38" i="6" s="1"/>
  <c r="F25" i="1" s="1"/>
  <c r="B16" i="4"/>
  <c r="G18" i="5"/>
  <c r="C24" i="1"/>
  <c r="D89" i="5"/>
  <c r="E18" i="5"/>
  <c r="E17" i="4" s="1"/>
  <c r="G16" i="5"/>
  <c r="E16" i="4"/>
  <c r="D16" i="4"/>
  <c r="F86" i="5"/>
  <c r="F4" i="8" s="1"/>
  <c r="C21" i="1"/>
  <c r="I11" i="6"/>
  <c r="I78" i="5" s="1"/>
  <c r="B18" i="5"/>
  <c r="B26" i="5" s="1"/>
  <c r="B28" i="5" s="1"/>
  <c r="E84" i="5"/>
  <c r="E85" i="5" s="1"/>
  <c r="C25" i="1"/>
  <c r="I10" i="6"/>
  <c r="I69" i="5" s="1"/>
  <c r="D12" i="4"/>
  <c r="I9" i="4"/>
  <c r="I60" i="5"/>
  <c r="G26" i="6"/>
  <c r="G6" i="8"/>
  <c r="G14" i="6"/>
  <c r="G28" i="6" s="1"/>
  <c r="G29" i="6" s="1"/>
  <c r="G7" i="8"/>
  <c r="G27" i="6"/>
  <c r="F26" i="5"/>
  <c r="F28" i="5" s="1"/>
  <c r="F17" i="4"/>
  <c r="F19" i="5"/>
  <c r="D25" i="1" s="1"/>
  <c r="D6" i="8"/>
  <c r="E15" i="6"/>
  <c r="E21" i="6" s="1"/>
  <c r="E31" i="6" s="1"/>
  <c r="E38" i="6" s="1"/>
  <c r="F24" i="1" s="1"/>
  <c r="D26" i="6"/>
  <c r="D84" i="5"/>
  <c r="D85" i="5" s="1"/>
  <c r="C14" i="6"/>
  <c r="C28" i="6" s="1"/>
  <c r="C29" i="6" s="1"/>
  <c r="C6" i="8"/>
  <c r="C26" i="6"/>
  <c r="D15" i="6"/>
  <c r="D21" i="6" s="1"/>
  <c r="D31" i="6" s="1"/>
  <c r="H68" i="5"/>
  <c r="E26" i="5"/>
  <c r="E28" i="5" s="1"/>
  <c r="B84" i="5"/>
  <c r="B85" i="5" s="1"/>
  <c r="B86" i="5" s="1"/>
  <c r="B4" i="8" s="1"/>
  <c r="C19" i="5"/>
  <c r="D22" i="1" s="1"/>
  <c r="C26" i="5"/>
  <c r="C28" i="5" s="1"/>
  <c r="C17" i="4"/>
  <c r="G17" i="4"/>
  <c r="G19" i="5"/>
  <c r="D26" i="1" s="1"/>
  <c r="G26" i="5"/>
  <c r="G28" i="5" s="1"/>
  <c r="F6" i="8"/>
  <c r="G15" i="6"/>
  <c r="G21" i="6" s="1"/>
  <c r="G31" i="6" s="1"/>
  <c r="F26" i="6"/>
  <c r="F14" i="6"/>
  <c r="F28" i="6" s="1"/>
  <c r="F29" i="6" s="1"/>
  <c r="D36" i="6"/>
  <c r="G84" i="5"/>
  <c r="G85" i="5" s="1"/>
  <c r="J8" i="4"/>
  <c r="J9" i="4" s="1"/>
  <c r="K6" i="4"/>
  <c r="C84" i="5"/>
  <c r="C85" i="5" s="1"/>
  <c r="C86" i="5" s="1"/>
  <c r="C4" i="8" s="1"/>
  <c r="E13" i="6"/>
  <c r="E89" i="5"/>
  <c r="E57" i="5"/>
  <c r="E58" i="5" s="1"/>
  <c r="E86" i="5" s="1"/>
  <c r="E4" i="8" s="1"/>
  <c r="G89" i="5"/>
  <c r="B23" i="7" s="1"/>
  <c r="D13" i="6"/>
  <c r="D57" i="5"/>
  <c r="D58" i="5" s="1"/>
  <c r="D86" i="5" s="1"/>
  <c r="D4" i="8" s="1"/>
  <c r="D26" i="5"/>
  <c r="D28" i="5" s="1"/>
  <c r="D17" i="4"/>
  <c r="D19" i="5"/>
  <c r="D23" i="1" s="1"/>
  <c r="G36" i="6"/>
  <c r="I6" i="6"/>
  <c r="H67" i="5"/>
  <c r="I7" i="6"/>
  <c r="I76" i="5" s="1"/>
  <c r="H12" i="6"/>
  <c r="H15" i="6" s="1"/>
  <c r="H20" i="6" s="1"/>
  <c r="B29" i="6"/>
  <c r="B38" i="6"/>
  <c r="F21" i="1" s="1"/>
  <c r="C15" i="6"/>
  <c r="C21" i="6" s="1"/>
  <c r="C31" i="6" s="1"/>
  <c r="C38" i="6" s="1"/>
  <c r="F22" i="1" s="1"/>
  <c r="G57" i="5"/>
  <c r="G58" i="5" s="1"/>
  <c r="I8" i="6" l="1"/>
  <c r="I68" i="5" s="1"/>
  <c r="I38" i="5"/>
  <c r="I41" i="5" s="1"/>
  <c r="D46" i="2"/>
  <c r="J9" i="6" s="1"/>
  <c r="J77" i="5" s="1"/>
  <c r="E19" i="5"/>
  <c r="D24" i="1" s="1"/>
  <c r="B19" i="5"/>
  <c r="D21" i="1" s="1"/>
  <c r="B17" i="4"/>
  <c r="J10" i="6"/>
  <c r="G86" i="5"/>
  <c r="G4" i="8" s="1"/>
  <c r="J11" i="6"/>
  <c r="J78" i="5" s="1"/>
  <c r="H21" i="6"/>
  <c r="H31" i="6" s="1"/>
  <c r="H38" i="6" s="1"/>
  <c r="H17" i="6"/>
  <c r="H21" i="5"/>
  <c r="H25" i="5" s="1"/>
  <c r="H88" i="5"/>
  <c r="H6" i="8" s="1"/>
  <c r="H74" i="5"/>
  <c r="D29" i="5"/>
  <c r="D31" i="5"/>
  <c r="D27" i="6"/>
  <c r="D7" i="8"/>
  <c r="L6" i="4"/>
  <c r="L8" i="4" s="1"/>
  <c r="K8" i="4"/>
  <c r="K9" i="4" s="1"/>
  <c r="J69" i="5"/>
  <c r="C29" i="5"/>
  <c r="C31" i="5"/>
  <c r="F31" i="5"/>
  <c r="F29" i="5"/>
  <c r="D37" i="6"/>
  <c r="D38" i="6"/>
  <c r="F23" i="1" s="1"/>
  <c r="D14" i="6"/>
  <c r="D28" i="6" s="1"/>
  <c r="D29" i="6" s="1"/>
  <c r="I67" i="5"/>
  <c r="J6" i="6"/>
  <c r="J7" i="6"/>
  <c r="J76" i="5" s="1"/>
  <c r="E27" i="6"/>
  <c r="E7" i="8"/>
  <c r="E14" i="6"/>
  <c r="E28" i="6" s="1"/>
  <c r="E29" i="6" s="1"/>
  <c r="B31" i="5"/>
  <c r="B29" i="5"/>
  <c r="J60" i="5"/>
  <c r="G31" i="5"/>
  <c r="G29" i="5"/>
  <c r="G37" i="6"/>
  <c r="G38" i="6" s="1"/>
  <c r="F26" i="1" s="1"/>
  <c r="H26" i="6"/>
  <c r="E29" i="5"/>
  <c r="E31" i="5"/>
  <c r="I12" i="6" l="1"/>
  <c r="I26" i="6" s="1"/>
  <c r="J8" i="6"/>
  <c r="E46" i="2"/>
  <c r="K9" i="6" s="1"/>
  <c r="K77" i="5" s="1"/>
  <c r="J38" i="5"/>
  <c r="J41" i="5" s="1"/>
  <c r="K11" i="6"/>
  <c r="K78" i="5" s="1"/>
  <c r="K10" i="6"/>
  <c r="B42" i="5"/>
  <c r="B87" i="5" s="1"/>
  <c r="B5" i="8" s="1"/>
  <c r="B5" i="7"/>
  <c r="F27" i="1"/>
  <c r="B8" i="1"/>
  <c r="L9" i="4"/>
  <c r="G42" i="5"/>
  <c r="G87" i="5" s="1"/>
  <c r="G5" i="8" s="1"/>
  <c r="I88" i="5"/>
  <c r="I74" i="5"/>
  <c r="E42" i="5"/>
  <c r="E87" i="5" s="1"/>
  <c r="E5" i="8" s="1"/>
  <c r="K60" i="5"/>
  <c r="K6" i="6"/>
  <c r="K7" i="6"/>
  <c r="K76" i="5" s="1"/>
  <c r="J67" i="5"/>
  <c r="C42" i="5"/>
  <c r="C87" i="5" s="1"/>
  <c r="C5" i="8" s="1"/>
  <c r="I15" i="6" l="1"/>
  <c r="I20" i="6" s="1"/>
  <c r="I21" i="5" s="1"/>
  <c r="K8" i="6"/>
  <c r="K68" i="5" s="1"/>
  <c r="J12" i="6"/>
  <c r="J15" i="6" s="1"/>
  <c r="J20" i="6" s="1"/>
  <c r="J21" i="6" s="1"/>
  <c r="J31" i="6" s="1"/>
  <c r="J38" i="6" s="1"/>
  <c r="F29" i="1" s="1"/>
  <c r="J68" i="5"/>
  <c r="J88" i="5" s="1"/>
  <c r="J6" i="8" s="1"/>
  <c r="F46" i="2"/>
  <c r="L38" i="5" s="1"/>
  <c r="L41" i="5" s="1"/>
  <c r="K38" i="5"/>
  <c r="K41" i="5" s="1"/>
  <c r="L11" i="6"/>
  <c r="L78" i="5" s="1"/>
  <c r="L10" i="6"/>
  <c r="L69" i="5" s="1"/>
  <c r="K69" i="5"/>
  <c r="E17" i="7"/>
  <c r="N13" i="7"/>
  <c r="D17" i="7"/>
  <c r="M13" i="7"/>
  <c r="C17" i="7"/>
  <c r="L13" i="7"/>
  <c r="N5" i="7"/>
  <c r="B17" i="7"/>
  <c r="K13" i="7"/>
  <c r="M5" i="7"/>
  <c r="J13" i="7"/>
  <c r="L5" i="7"/>
  <c r="K5" i="7"/>
  <c r="H8" i="8"/>
  <c r="J5" i="7"/>
  <c r="F17" i="7"/>
  <c r="K67" i="5"/>
  <c r="L6" i="6"/>
  <c r="L7" i="6"/>
  <c r="L76" i="5" s="1"/>
  <c r="L60" i="5"/>
  <c r="I6" i="8"/>
  <c r="J74" i="5" l="1"/>
  <c r="J21" i="5"/>
  <c r="J26" i="6"/>
  <c r="I21" i="6"/>
  <c r="I31" i="6" s="1"/>
  <c r="I38" i="6" s="1"/>
  <c r="F28" i="1" s="1"/>
  <c r="L8" i="6"/>
  <c r="L68" i="5" s="1"/>
  <c r="L9" i="6"/>
  <c r="L77" i="5" s="1"/>
  <c r="K12" i="6"/>
  <c r="K15" i="6" s="1"/>
  <c r="K20" i="6" s="1"/>
  <c r="K21" i="6" s="1"/>
  <c r="K31" i="6" s="1"/>
  <c r="K38" i="6" s="1"/>
  <c r="F30" i="1" s="1"/>
  <c r="K74" i="5"/>
  <c r="K88" i="5"/>
  <c r="L67" i="5"/>
  <c r="K21" i="5" l="1"/>
  <c r="K26" i="6"/>
  <c r="K6" i="8"/>
  <c r="L12" i="6"/>
  <c r="L26" i="6" s="1"/>
  <c r="L88" i="5"/>
  <c r="L74" i="5"/>
  <c r="L15" i="6" l="1"/>
  <c r="L20" i="6" s="1"/>
  <c r="L21" i="6" s="1"/>
  <c r="L31" i="6" s="1"/>
  <c r="L38" i="6" s="1"/>
  <c r="L6" i="8"/>
  <c r="L21" i="5" l="1"/>
  <c r="C8" i="1"/>
  <c r="D8" i="1" s="1"/>
  <c r="F31" i="1"/>
  <c r="H6" i="5" l="1"/>
  <c r="H12" i="4"/>
  <c r="B27" i="1" l="1"/>
  <c r="H75" i="5"/>
  <c r="H51" i="5"/>
  <c r="H12" i="5"/>
  <c r="I12" i="4"/>
  <c r="I14" i="4"/>
  <c r="H35" i="5"/>
  <c r="I6" i="5"/>
  <c r="I7" i="5" s="1"/>
  <c r="H17" i="5"/>
  <c r="H32" i="5" s="1"/>
  <c r="B11" i="7" s="1"/>
  <c r="H7" i="5"/>
  <c r="J12" i="4"/>
  <c r="H11" i="5"/>
  <c r="H52" i="5"/>
  <c r="B5" i="1"/>
  <c r="H8" i="5"/>
  <c r="H9" i="5" s="1"/>
  <c r="H10" i="5" s="1"/>
  <c r="H13" i="5" l="1"/>
  <c r="I13" i="5" s="1"/>
  <c r="H79" i="5"/>
  <c r="I79" i="5" s="1"/>
  <c r="H9" i="8"/>
  <c r="I11" i="5"/>
  <c r="I17" i="5"/>
  <c r="I32" i="5" s="1"/>
  <c r="C11" i="7" s="1"/>
  <c r="I12" i="5"/>
  <c r="I75" i="5"/>
  <c r="I51" i="5"/>
  <c r="I52" i="5"/>
  <c r="B28" i="1"/>
  <c r="I8" i="5"/>
  <c r="J6" i="5"/>
  <c r="J14" i="4"/>
  <c r="H18" i="4"/>
  <c r="K14" i="4"/>
  <c r="H47" i="5"/>
  <c r="H46" i="5"/>
  <c r="B12" i="7"/>
  <c r="H37" i="5"/>
  <c r="I35" i="5"/>
  <c r="I9" i="8" s="1"/>
  <c r="K12" i="4"/>
  <c r="H15" i="5"/>
  <c r="I18" i="6"/>
  <c r="I33" i="5" l="1"/>
  <c r="B13" i="7"/>
  <c r="J12" i="5"/>
  <c r="J75" i="5"/>
  <c r="J51" i="5"/>
  <c r="J79" i="5"/>
  <c r="J18" i="6"/>
  <c r="L14" i="4"/>
  <c r="I9" i="5"/>
  <c r="I10" i="5" s="1"/>
  <c r="I15" i="5"/>
  <c r="H33" i="5"/>
  <c r="H50" i="5"/>
  <c r="J11" i="5"/>
  <c r="B29" i="1"/>
  <c r="J8" i="5"/>
  <c r="J35" i="5"/>
  <c r="J9" i="8" s="1"/>
  <c r="K18" i="6"/>
  <c r="K17" i="6" s="1"/>
  <c r="J52" i="5"/>
  <c r="J7" i="5"/>
  <c r="J13" i="5" s="1"/>
  <c r="K6" i="5"/>
  <c r="B30" i="1" s="1"/>
  <c r="J17" i="5"/>
  <c r="J32" i="5" s="1"/>
  <c r="D11" i="7" s="1"/>
  <c r="C12" i="7"/>
  <c r="I46" i="5"/>
  <c r="I47" i="5"/>
  <c r="I18" i="4"/>
  <c r="I37" i="5"/>
  <c r="L12" i="4"/>
  <c r="L6" i="5"/>
  <c r="I17" i="6"/>
  <c r="I22" i="5"/>
  <c r="I25" i="5" s="1"/>
  <c r="J17" i="6"/>
  <c r="J22" i="5"/>
  <c r="J25" i="5" s="1"/>
  <c r="H25" i="6"/>
  <c r="H18" i="5"/>
  <c r="H16" i="5"/>
  <c r="C27" i="1"/>
  <c r="B6" i="1"/>
  <c r="H16" i="4"/>
  <c r="I19" i="4" l="1"/>
  <c r="L12" i="5"/>
  <c r="L75" i="5"/>
  <c r="H19" i="4"/>
  <c r="K51" i="5"/>
  <c r="D13" i="7"/>
  <c r="K75" i="5"/>
  <c r="L18" i="6" s="1"/>
  <c r="K12" i="5"/>
  <c r="C13" i="7"/>
  <c r="K22" i="5"/>
  <c r="K25" i="5" s="1"/>
  <c r="J15" i="5"/>
  <c r="J16" i="5" s="1"/>
  <c r="I25" i="6"/>
  <c r="I16" i="5"/>
  <c r="I16" i="4"/>
  <c r="C28" i="1"/>
  <c r="I18" i="5"/>
  <c r="J47" i="5"/>
  <c r="J46" i="5"/>
  <c r="K17" i="5"/>
  <c r="K32" i="5" s="1"/>
  <c r="E11" i="7" s="1"/>
  <c r="K8" i="5"/>
  <c r="K9" i="5" s="1"/>
  <c r="K10" i="5" s="1"/>
  <c r="J37" i="5"/>
  <c r="D12" i="7"/>
  <c r="J18" i="4"/>
  <c r="K35" i="5"/>
  <c r="E12" i="7" s="1"/>
  <c r="K7" i="5"/>
  <c r="K13" i="5" s="1"/>
  <c r="K11" i="5"/>
  <c r="J9" i="5"/>
  <c r="J10" i="5" s="1"/>
  <c r="K52" i="5"/>
  <c r="I50" i="5"/>
  <c r="L11" i="5"/>
  <c r="C5" i="1"/>
  <c r="D5" i="1" s="1"/>
  <c r="B31" i="1"/>
  <c r="L35" i="5"/>
  <c r="L52" i="5"/>
  <c r="L8" i="5"/>
  <c r="L9" i="5" s="1"/>
  <c r="L10" i="5" s="1"/>
  <c r="L17" i="5"/>
  <c r="L32" i="5" s="1"/>
  <c r="F11" i="7" s="1"/>
  <c r="B31" i="7" s="1"/>
  <c r="B32" i="7" s="1"/>
  <c r="H10" i="8" s="1"/>
  <c r="L7" i="5"/>
  <c r="H26" i="5"/>
  <c r="B8" i="7"/>
  <c r="H19" i="5"/>
  <c r="H17" i="4"/>
  <c r="K79" i="5" l="1"/>
  <c r="L13" i="5"/>
  <c r="L15" i="5" s="1"/>
  <c r="K15" i="5"/>
  <c r="K25" i="6" s="1"/>
  <c r="L51" i="5"/>
  <c r="E13" i="7"/>
  <c r="J19" i="4"/>
  <c r="L79" i="5"/>
  <c r="J18" i="5"/>
  <c r="J17" i="4" s="1"/>
  <c r="J16" i="4"/>
  <c r="J25" i="6"/>
  <c r="C29" i="1"/>
  <c r="I19" i="5"/>
  <c r="D28" i="1" s="1"/>
  <c r="I17" i="4"/>
  <c r="C8" i="7"/>
  <c r="C9" i="7" s="1"/>
  <c r="C10" i="7" s="1"/>
  <c r="K9" i="8"/>
  <c r="K47" i="5"/>
  <c r="L47" i="5" s="1"/>
  <c r="K46" i="5"/>
  <c r="L46" i="5" s="1"/>
  <c r="J50" i="5"/>
  <c r="K33" i="5"/>
  <c r="J33" i="5"/>
  <c r="L22" i="5"/>
  <c r="L25" i="5" s="1"/>
  <c r="L17" i="6"/>
  <c r="K18" i="4"/>
  <c r="K37" i="5"/>
  <c r="L37" i="5"/>
  <c r="F12" i="7"/>
  <c r="L9" i="8"/>
  <c r="L18" i="4"/>
  <c r="B9" i="7"/>
  <c r="B10" i="7" s="1"/>
  <c r="B14" i="7" s="1"/>
  <c r="B7" i="1"/>
  <c r="D27" i="1"/>
  <c r="H27" i="5"/>
  <c r="H28" i="5" s="1"/>
  <c r="C6" i="1" l="1"/>
  <c r="D6" i="1" s="1"/>
  <c r="L25" i="6"/>
  <c r="L18" i="5"/>
  <c r="L19" i="5" s="1"/>
  <c r="C31" i="1"/>
  <c r="L16" i="4"/>
  <c r="L16" i="5"/>
  <c r="C14" i="7"/>
  <c r="C18" i="7" s="1"/>
  <c r="K16" i="5"/>
  <c r="L33" i="5"/>
  <c r="K16" i="4"/>
  <c r="K18" i="5"/>
  <c r="K19" i="5" s="1"/>
  <c r="D30" i="1" s="1"/>
  <c r="C30" i="1"/>
  <c r="K19" i="4"/>
  <c r="J19" i="5"/>
  <c r="D29" i="1" s="1"/>
  <c r="D8" i="7"/>
  <c r="D9" i="7" s="1"/>
  <c r="D10" i="7" s="1"/>
  <c r="K50" i="5"/>
  <c r="L50" i="5"/>
  <c r="K17" i="4"/>
  <c r="E8" i="7"/>
  <c r="E9" i="7" s="1"/>
  <c r="E10" i="7" s="1"/>
  <c r="L17" i="4"/>
  <c r="H62" i="5"/>
  <c r="H31" i="5"/>
  <c r="H34" i="5" s="1"/>
  <c r="H42" i="5" s="1"/>
  <c r="H44" i="5" s="1"/>
  <c r="H29" i="5"/>
  <c r="E27" i="1"/>
  <c r="B18" i="7"/>
  <c r="E28" i="1" l="1"/>
  <c r="F8" i="7"/>
  <c r="F9" i="7" s="1"/>
  <c r="F10" i="7" s="1"/>
  <c r="D14" i="7"/>
  <c r="E29" i="1" s="1"/>
  <c r="F13" i="7"/>
  <c r="B33" i="7" s="1"/>
  <c r="L19" i="4"/>
  <c r="E14" i="7"/>
  <c r="E18" i="7" s="1"/>
  <c r="C7" i="1"/>
  <c r="D7" i="1" s="1"/>
  <c r="D31" i="1"/>
  <c r="H56" i="5"/>
  <c r="I20" i="5"/>
  <c r="I26" i="5" s="1"/>
  <c r="H87" i="5"/>
  <c r="H5" i="8" s="1"/>
  <c r="I43" i="5"/>
  <c r="H65" i="5"/>
  <c r="E30" i="1" l="1"/>
  <c r="D18" i="7"/>
  <c r="B30" i="7"/>
  <c r="B34" i="7" s="1"/>
  <c r="B35" i="7" s="1"/>
  <c r="B36" i="7" s="1"/>
  <c r="F14" i="7"/>
  <c r="G19" i="7" s="1"/>
  <c r="G20" i="7" s="1"/>
  <c r="M6" i="7"/>
  <c r="K18" i="7"/>
  <c r="K17" i="7"/>
  <c r="M10" i="7"/>
  <c r="K8" i="7"/>
  <c r="N8" i="7"/>
  <c r="K9" i="7"/>
  <c r="N6" i="7"/>
  <c r="N15" i="7"/>
  <c r="J9" i="7"/>
  <c r="J7" i="7"/>
  <c r="M14" i="7"/>
  <c r="L6" i="7"/>
  <c r="K14" i="7"/>
  <c r="L8" i="7"/>
  <c r="K15" i="7"/>
  <c r="N17" i="7"/>
  <c r="J16" i="7"/>
  <c r="N9" i="7"/>
  <c r="N18" i="7"/>
  <c r="H13" i="6"/>
  <c r="H89" i="5"/>
  <c r="B9" i="1" s="1"/>
  <c r="H57" i="5"/>
  <c r="H58" i="5" s="1"/>
  <c r="I27" i="5"/>
  <c r="I28" i="5" s="1"/>
  <c r="J10" i="7" l="1"/>
  <c r="M9" i="7"/>
  <c r="J8" i="7"/>
  <c r="J6" i="7"/>
  <c r="F18" i="7"/>
  <c r="B37" i="7" s="1"/>
  <c r="B38" i="7" s="1"/>
  <c r="G6" i="1" s="1"/>
  <c r="M7" i="7"/>
  <c r="L10" i="7"/>
  <c r="M15" i="7"/>
  <c r="L16" i="7"/>
  <c r="K16" i="7"/>
  <c r="N7" i="7"/>
  <c r="K6" i="7"/>
  <c r="J17" i="7"/>
  <c r="J18" i="7"/>
  <c r="M8" i="7"/>
  <c r="J15" i="7"/>
  <c r="E31" i="1"/>
  <c r="L9" i="7"/>
  <c r="J14" i="7"/>
  <c r="K10" i="7"/>
  <c r="L15" i="7"/>
  <c r="L17" i="7"/>
  <c r="L14" i="7"/>
  <c r="L18" i="7"/>
  <c r="M16" i="7"/>
  <c r="M18" i="7"/>
  <c r="K7" i="7"/>
  <c r="M17" i="7"/>
  <c r="N14" i="7"/>
  <c r="L7" i="7"/>
  <c r="N10" i="7"/>
  <c r="N16" i="7"/>
  <c r="I31" i="5"/>
  <c r="I34" i="5" s="1"/>
  <c r="I42" i="5" s="1"/>
  <c r="I44" i="5" s="1"/>
  <c r="I29" i="5"/>
  <c r="I62" i="5"/>
  <c r="H82" i="5"/>
  <c r="H83" i="5" s="1"/>
  <c r="H84" i="5" s="1"/>
  <c r="H85" i="5" s="1"/>
  <c r="H86" i="5" s="1"/>
  <c r="H4" i="8" s="1"/>
  <c r="H7" i="8"/>
  <c r="H14" i="6"/>
  <c r="H27" i="6"/>
  <c r="B22" i="7" l="1"/>
  <c r="B24" i="7" s="1"/>
  <c r="B26" i="7" s="1"/>
  <c r="B28" i="7" s="1"/>
  <c r="G8" i="1" s="1"/>
  <c r="B39" i="7"/>
  <c r="G9" i="1" s="1"/>
  <c r="G5" i="1"/>
  <c r="I65" i="5"/>
  <c r="H28" i="6"/>
  <c r="H29" i="6" s="1"/>
  <c r="H23" i="6"/>
  <c r="J20" i="5"/>
  <c r="J26" i="5" s="1"/>
  <c r="J43" i="5"/>
  <c r="I87" i="5"/>
  <c r="I5" i="8" s="1"/>
  <c r="I56" i="5"/>
  <c r="I13" i="6" l="1"/>
  <c r="I89" i="5"/>
  <c r="I57" i="5"/>
  <c r="I58" i="5" s="1"/>
  <c r="J27" i="5"/>
  <c r="J28" i="5" s="1"/>
  <c r="J29" i="5" l="1"/>
  <c r="J31" i="5"/>
  <c r="J34" i="5" s="1"/>
  <c r="J42" i="5" s="1"/>
  <c r="J44" i="5" s="1"/>
  <c r="J62" i="5"/>
  <c r="I82" i="5"/>
  <c r="I83" i="5" s="1"/>
  <c r="I84" i="5" s="1"/>
  <c r="I85" i="5" s="1"/>
  <c r="I86" i="5" s="1"/>
  <c r="I4" i="8" s="1"/>
  <c r="I14" i="6"/>
  <c r="I27" i="6"/>
  <c r="I7" i="8"/>
  <c r="I28" i="6" l="1"/>
  <c r="I29" i="6" s="1"/>
  <c r="I23" i="6"/>
  <c r="J65" i="5"/>
  <c r="K20" i="5"/>
  <c r="K26" i="5" s="1"/>
  <c r="K43" i="5"/>
  <c r="J56" i="5"/>
  <c r="J87" i="5"/>
  <c r="J5" i="8" s="1"/>
  <c r="J89" i="5" l="1"/>
  <c r="J13" i="6"/>
  <c r="J57" i="5"/>
  <c r="J58" i="5" s="1"/>
  <c r="K27" i="5"/>
  <c r="K28" i="5" s="1"/>
  <c r="J82" i="5" l="1"/>
  <c r="J83" i="5" s="1"/>
  <c r="J84" i="5" s="1"/>
  <c r="J85" i="5" s="1"/>
  <c r="J86" i="5" s="1"/>
  <c r="J4" i="8" s="1"/>
  <c r="K29" i="5"/>
  <c r="K31" i="5"/>
  <c r="K34" i="5" s="1"/>
  <c r="K42" i="5" s="1"/>
  <c r="K44" i="5" s="1"/>
  <c r="K62" i="5"/>
  <c r="J27" i="6"/>
  <c r="J7" i="8"/>
  <c r="J14" i="6"/>
  <c r="J28" i="6" l="1"/>
  <c r="J29" i="6" s="1"/>
  <c r="J23" i="6"/>
  <c r="K65" i="5"/>
  <c r="L20" i="5"/>
  <c r="L26" i="5" s="1"/>
  <c r="K87" i="5"/>
  <c r="K5" i="8" s="1"/>
  <c r="K56" i="5"/>
  <c r="L43" i="5"/>
  <c r="K13" i="6" l="1"/>
  <c r="K89" i="5"/>
  <c r="K57" i="5"/>
  <c r="K58" i="5" s="1"/>
  <c r="L27" i="5"/>
  <c r="L28" i="5" s="1"/>
  <c r="L29" i="5" l="1"/>
  <c r="L31" i="5"/>
  <c r="L34" i="5" s="1"/>
  <c r="L42" i="5" s="1"/>
  <c r="L44" i="5" s="1"/>
  <c r="L62" i="5"/>
  <c r="L65" i="5" s="1"/>
  <c r="K82" i="5"/>
  <c r="K83" i="5" s="1"/>
  <c r="K84" i="5" s="1"/>
  <c r="K85" i="5" s="1"/>
  <c r="K86" i="5" s="1"/>
  <c r="K4" i="8" s="1"/>
  <c r="K7" i="8"/>
  <c r="K27" i="6"/>
  <c r="K14" i="6"/>
  <c r="K28" i="6" l="1"/>
  <c r="K29" i="6" s="1"/>
  <c r="K23" i="6"/>
  <c r="L87" i="5"/>
  <c r="L5" i="8" s="1"/>
  <c r="L56" i="5"/>
  <c r="L89" i="5" l="1"/>
  <c r="C9" i="1" s="1"/>
  <c r="D9" i="1" s="1"/>
  <c r="L13" i="6"/>
  <c r="L57" i="5"/>
  <c r="L58" i="5" s="1"/>
  <c r="L14" i="6" l="1"/>
  <c r="L27" i="6"/>
  <c r="L7" i="8"/>
  <c r="L82" i="5"/>
  <c r="L83" i="5" s="1"/>
  <c r="L84" i="5" s="1"/>
  <c r="L85" i="5" s="1"/>
  <c r="L86" i="5" s="1"/>
  <c r="L4" i="8" s="1"/>
  <c r="L28" i="6" l="1"/>
  <c r="L29" i="6" s="1"/>
  <c r="L23" i="6"/>
  <c r="F42" i="5"/>
  <c r="F87" i="5" s="1"/>
  <c r="F5" i="8" s="1"/>
  <c r="D42" i="5"/>
  <c r="D87" i="5" s="1"/>
  <c r="D5" i="8" s="1"/>
</calcChain>
</file>

<file path=xl/sharedStrings.xml><?xml version="1.0" encoding="utf-8"?>
<sst xmlns="http://schemas.openxmlformats.org/spreadsheetml/2006/main" count="479" uniqueCount="299">
  <si>
    <t>Panel DCF DINO</t>
  </si>
  <si>
    <t>Kluczowe wyniki</t>
  </si>
  <si>
    <t>Miara</t>
  </si>
  <si>
    <t>2026E</t>
  </si>
  <si>
    <t>2030E</t>
  </si>
  <si>
    <t>CAGR / Δ</t>
  </si>
  <si>
    <t>Wartość</t>
  </si>
  <si>
    <t>Scenariusz</t>
  </si>
  <si>
    <t>Przychody ze sprzedaży (PLN tys.)</t>
  </si>
  <si>
    <t>Implikowana cena akcji</t>
  </si>
  <si>
    <t>Scenariusz 1</t>
  </si>
  <si>
    <t>EBITDA (PLN tys.)</t>
  </si>
  <si>
    <t>Scenariusz 2</t>
  </si>
  <si>
    <t>Marża EBIT</t>
  </si>
  <si>
    <t>Bieżąca cena akcji</t>
  </si>
  <si>
    <t>WACC</t>
  </si>
  <si>
    <t>Premia / (dyskonto)</t>
  </si>
  <si>
    <t>Dług netto / (gotówka netto)</t>
  </si>
  <si>
    <t>Założenia prognozy</t>
  </si>
  <si>
    <t>2027E</t>
  </si>
  <si>
    <t>2028E</t>
  </si>
  <si>
    <t>2029E</t>
  </si>
  <si>
    <t>Wzrost przychodów LFL</t>
  </si>
  <si>
    <t>Inflacja ogólna</t>
  </si>
  <si>
    <t>Marża brutto</t>
  </si>
  <si>
    <t>Nakłady inwestycyjne % sprzedaży</t>
  </si>
  <si>
    <t>Docelowy udział kapitału własnego</t>
  </si>
  <si>
    <t>Docelowy udział długu</t>
  </si>
  <si>
    <t>Skrót historyczny / prognozy</t>
  </si>
  <si>
    <t>Rok</t>
  </si>
  <si>
    <t>Przychody ze sprzedaży</t>
  </si>
  <si>
    <t>EBITDA</t>
  </si>
  <si>
    <t>UFCF</t>
  </si>
  <si>
    <t>Założenia</t>
  </si>
  <si>
    <t>Statyczne założenia wyceny / modelu</t>
  </si>
  <si>
    <t>Uwagi</t>
  </si>
  <si>
    <t>Stopa wolna od ryzyka</t>
  </si>
  <si>
    <t>Polski 10-letni instrument odniesienia 2026; założenie WACC na przyszłość, stopa z 23 maja 2026 r.</t>
  </si>
  <si>
    <t>Beta</t>
  </si>
  <si>
    <t>Założenie beta kapitału własnego</t>
  </si>
  <si>
    <t>Premia za ryzyko kapitału własnego</t>
  </si>
  <si>
    <t>Założenie rynkowej premii za ryzyko</t>
  </si>
  <si>
    <t>Stopa wzrostu rezydualnego</t>
  </si>
  <si>
    <t>Bieżąca cena akcji (PLN)</t>
  </si>
  <si>
    <t>Liczba akcji (tys.)</t>
  </si>
  <si>
    <t>Powiązane z liczbą akcji w 2025 r.; 2020-2024 stanowiły 1/10 2025 r.</t>
  </si>
  <si>
    <t>Liczba dni w roku</t>
  </si>
  <si>
    <t>Używane do dni kapitału obrotowego</t>
  </si>
  <si>
    <t>Dzielnik jednostek</t>
  </si>
  <si>
    <t>Używane do konwersji jednostek</t>
  </si>
  <si>
    <t>Minimalny poziom gotówki % sprzedaży</t>
  </si>
  <si>
    <t>Stopa przychodów odsetkowych od średniej gotówki</t>
  </si>
  <si>
    <t>Ustawowa stawka podatkowa</t>
  </si>
  <si>
    <t>Historyczne założenia rynkowe</t>
  </si>
  <si>
    <t>2020A</t>
  </si>
  <si>
    <t>2021A</t>
  </si>
  <si>
    <t>2022A</t>
  </si>
  <si>
    <t>2023A</t>
  </si>
  <si>
    <t>2024A</t>
  </si>
  <si>
    <t>2025A</t>
  </si>
  <si>
    <t>Źródło / uwagi</t>
  </si>
  <si>
    <t>Cena rynkowa DINO / akcję (PLN)</t>
  </si>
  <si>
    <t>2020-2024 = 1/10 2025 r.</t>
  </si>
  <si>
    <t>Kapitalizacja rynkowa (PLN tys.)</t>
  </si>
  <si>
    <t>Założenia prognozy operacyjnej</t>
  </si>
  <si>
    <t>Główny czynnik wzrostu przychodów</t>
  </si>
  <si>
    <t>Wzrost liczby sklepów</t>
  </si>
  <si>
    <t>Pozostałe przychody operacyjne % sprzedaży</t>
  </si>
  <si>
    <t>Wskaźnik pomocniczy</t>
  </si>
  <si>
    <t>Amortyzacja % sprzedaży</t>
  </si>
  <si>
    <t>Założenie prognozy amortyzacji</t>
  </si>
  <si>
    <t>Dni zapasów</t>
  </si>
  <si>
    <t>Dni należności</t>
  </si>
  <si>
    <t>Dni zobowiązań</t>
  </si>
  <si>
    <t>Założenia alokacji aktywów trwałych</t>
  </si>
  <si>
    <t>Alokacja nakładów inwestycyjnych na PPE / ROU</t>
  </si>
  <si>
    <t>Alokacja nakładów inwestycyjnych na wartości niematerialne</t>
  </si>
  <si>
    <t>Alokacja amortyzacji PPE / ROU</t>
  </si>
  <si>
    <t>Alokacja amortyzacji wartości niematerialnych</t>
  </si>
  <si>
    <t>Założenia długu / finansowania</t>
  </si>
  <si>
    <t>Zmiana netto kredytów bankowych</t>
  </si>
  <si>
    <t>Kredyty bankowe krótkoterminowe % całości</t>
  </si>
  <si>
    <t>Zmiana netto zobowiązań leasingowych</t>
  </si>
  <si>
    <t>Zobowiązania leasingowe krótkoterminowe % całości</t>
  </si>
  <si>
    <t>Zmiana netto obligacji</t>
  </si>
  <si>
    <t>Obligacje krótkoterminowe % całości</t>
  </si>
  <si>
    <t>Koszt długu oprocentowanego przed opodatkowaniem</t>
  </si>
  <si>
    <t>Stopa odsetek od zobowiązań handlowych</t>
  </si>
  <si>
    <t>Stopa odsetek od pozostałych zobowiązań</t>
  </si>
  <si>
    <t>Pozostałe koszty / (przychody) finansowe</t>
  </si>
  <si>
    <t>Pozostałe finansowanie / pozycja bilansująca</t>
  </si>
  <si>
    <t>Dywidendy / wypłaty</t>
  </si>
  <si>
    <t>Pozostała działalność inwestycyjna</t>
  </si>
  <si>
    <t>Dane źródłowe</t>
  </si>
  <si>
    <t>Historyczny rachunek zysków i strat</t>
  </si>
  <si>
    <t>Pozycja</t>
  </si>
  <si>
    <t>Koszt własny sprzedaży</t>
  </si>
  <si>
    <t>Zysk brutto ze sprzedaży</t>
  </si>
  <si>
    <t>Pozostałe przychody operacyjne</t>
  </si>
  <si>
    <t>Koszty sprzedaży i marketingu</t>
  </si>
  <si>
    <t>Koszty ogólnego zarządu</t>
  </si>
  <si>
    <t>Pozostałe koszty operacyjne</t>
  </si>
  <si>
    <t>Zysk operacyjny</t>
  </si>
  <si>
    <t>Przychody finansowe</t>
  </si>
  <si>
    <t>Koszty finansowe</t>
  </si>
  <si>
    <t>Zysk przed opodatkowaniem</t>
  </si>
  <si>
    <t>Podatek dochodowy</t>
  </si>
  <si>
    <t>Zysk netto</t>
  </si>
  <si>
    <t>Zysk przypadający właścicielom jednostki dominującej</t>
  </si>
  <si>
    <t>Zysk przypadający udziałowcom niekontrolującym</t>
  </si>
  <si>
    <t>Historyczny bilans</t>
  </si>
  <si>
    <t>Rzeczowe aktywa trwałe</t>
  </si>
  <si>
    <t>Aktywa z tytułu prawa do użytkowania</t>
  </si>
  <si>
    <t>Wartości niematerialne</t>
  </si>
  <si>
    <t>Pozostałe aktywa niefinansowe (długoterminowe)</t>
  </si>
  <si>
    <t>Aktywa z tytułu odroczonego podatku</t>
  </si>
  <si>
    <t>Aktywa trwałe razem</t>
  </si>
  <si>
    <t>Zapasy</t>
  </si>
  <si>
    <t>Należności handlowe i pozostałe</t>
  </si>
  <si>
    <t>Należności z tytułu podatku dochodowego</t>
  </si>
  <si>
    <t>Pozostałe aktywa niefinansowe (bieżące)</t>
  </si>
  <si>
    <t>Pozostałe aktywa finansowe</t>
  </si>
  <si>
    <t>Środki pieniężne i ich ekwiwalenty</t>
  </si>
  <si>
    <t>Aktywa obrotowe razem</t>
  </si>
  <si>
    <t>AKTYWA RAZEM</t>
  </si>
  <si>
    <t>Kapitał własny przypadający właścicielom jednostki dominującej</t>
  </si>
  <si>
    <t>Kapitał zakładowy</t>
  </si>
  <si>
    <t>Kapitał zapasowy</t>
  </si>
  <si>
    <t>Zyski zatrzymane</t>
  </si>
  <si>
    <t>Pozostały kapitał własny</t>
  </si>
  <si>
    <t>Udziały niekontrolujące</t>
  </si>
  <si>
    <t>Kapitał własny razem</t>
  </si>
  <si>
    <t>Kredyty bankowe (długoterminowe)</t>
  </si>
  <si>
    <t>Zobowiązania leasingowe (długoterminowe)</t>
  </si>
  <si>
    <t>Zobowiązania z tytułu wyemitowanych obligacji (długoterminowe)</t>
  </si>
  <si>
    <t>Zobowiązania z tytułu nabycia udziałów niekontrolujących (długoterminowe)</t>
  </si>
  <si>
    <t>Pozostałe zobowiązania (długoterminowe)</t>
  </si>
  <si>
    <t>Zobowiązania z tytułu świadczeń pracowniczych (długoterminowe)</t>
  </si>
  <si>
    <t>Rezerwa z tytułu odroczonego podatku (długoterminowa)</t>
  </si>
  <si>
    <t>Bierne rozliczenia międzyokresowe i przychody przyszłych okresów (długoterminowe)</t>
  </si>
  <si>
    <t>Zobowiązania długoterminowe razem</t>
  </si>
  <si>
    <t>Zobowiązania handlowe i pozostałe</t>
  </si>
  <si>
    <t>Kredyty bankowe (krótkoterminowe)</t>
  </si>
  <si>
    <t>Zobowiązania leasingowe (krótkoterminowe)</t>
  </si>
  <si>
    <t>Zobowiązania z tytułu wyemitowanych obligacji (krótkoterminowe)</t>
  </si>
  <si>
    <t>Zobowiązania z tytułu świadczeń pracowniczych (krótkoterminowe)</t>
  </si>
  <si>
    <t>Zobowiązania z tytułu podatku dochodowego</t>
  </si>
  <si>
    <t>Przychody przyszłych okresów (bieżące)</t>
  </si>
  <si>
    <t>Zobowiązania krótkoterminowe razem</t>
  </si>
  <si>
    <t>Zobowiązania razem</t>
  </si>
  <si>
    <t>KAPITAŁ WŁASNY I ZOBOWIĄZANIA RAZEM</t>
  </si>
  <si>
    <t>Historyczny rachunek przepływów pieniężnych</t>
  </si>
  <si>
    <t>Amortyzacja</t>
  </si>
  <si>
    <t>Koszty odsetkowe</t>
  </si>
  <si>
    <t>Zmiana zapasów</t>
  </si>
  <si>
    <t>Zmiana zobowiązań z wyłączeniem kredytów i pożyczek</t>
  </si>
  <si>
    <t>Zapłacony podatek dochodowy</t>
  </si>
  <si>
    <t>Środki pieniężne netto z działalności operacyjnej</t>
  </si>
  <si>
    <t>Sprzedaż rzeczowych aktywów trwałych i wartości niematerialnych</t>
  </si>
  <si>
    <t>Nabycie rzeczowych aktywów trwałych i wartości niematerialnych</t>
  </si>
  <si>
    <t>Wydatki na nabycie jednostek zależnych pomniejszone o środki pieniężne przejętych jednostek</t>
  </si>
  <si>
    <t>Otrzymane odsetki</t>
  </si>
  <si>
    <t>Spłata udzielonych pożyczek</t>
  </si>
  <si>
    <t>Udzielenie pożyczek</t>
  </si>
  <si>
    <t>Środki pieniężne netto z działalności inwestycyjnej</t>
  </si>
  <si>
    <t>Płatności z tytułu zobowiązań leasingowych</t>
  </si>
  <si>
    <t>Wpływy z kredytów bankowych</t>
  </si>
  <si>
    <t>Spłata kredytów bankowych</t>
  </si>
  <si>
    <t>Emisja dłużnych papierów wartościowych</t>
  </si>
  <si>
    <t>Wykup obligacji</t>
  </si>
  <si>
    <t>Zapłacone odsetki</t>
  </si>
  <si>
    <t>Środki pieniężne netto z działalności finansowej</t>
  </si>
  <si>
    <t>Zwiększenie netto środków pieniężnych</t>
  </si>
  <si>
    <t>Środki pieniężne na początek okresu</t>
  </si>
  <si>
    <t>Środki pieniężne na koniec okresu</t>
  </si>
  <si>
    <t>Historyczne wskaźniki operacyjne</t>
  </si>
  <si>
    <t>Liczba sklepów (#)</t>
  </si>
  <si>
    <t>Powierzchnia sprzedaży (tys. m²)</t>
  </si>
  <si>
    <t>Średnia powierzchnia sprzedaży / sklep (m²)</t>
  </si>
  <si>
    <t>Inflacja / deflacja (%)</t>
  </si>
  <si>
    <t>Dino LFL (%)</t>
  </si>
  <si>
    <t>Historyczne dane rynkowe</t>
  </si>
  <si>
    <t>Czynniki operacyjne / budowa przychodów</t>
  </si>
  <si>
    <t>Mostek operacyjny oparty na formułach. Prognozowane przychody są napędzane wzrostem LFL; metryki sklepów są operacyjnymi KPI.</t>
  </si>
  <si>
    <t>Okres</t>
  </si>
  <si>
    <t>Mostek liczby sklepów i budowa przychodów</t>
  </si>
  <si>
    <t>Wzrost powierzchni sprzedaży</t>
  </si>
  <si>
    <t>Przychody / sklep (PLN tys.)</t>
  </si>
  <si>
    <t>Wzrost przychodów / sklep</t>
  </si>
  <si>
    <t>Wzrost przychodów</t>
  </si>
  <si>
    <t>Marża EBITDA</t>
  </si>
  <si>
    <t>Operacyjny kapitał obrotowy netto % sprzedaży</t>
  </si>
  <si>
    <t>Zintegrowany model trzech sprawozdań</t>
  </si>
  <si>
    <t>Wszystkie komórki niebędące danymi wejściowymi są oparte na formułach z arkuszy Dane źródłowe i Założenia. Wartości wprowadzone na sztywno są odizolowane wyłącznie w arkuszach Dane źródłowe i Założenia.</t>
  </si>
  <si>
    <t>Rachunek zysków i strat</t>
  </si>
  <si>
    <t>Zysk brutto</t>
  </si>
  <si>
    <t>Koszty sprzedaży i marketingu</t>
  </si>
  <si>
    <t>Koszty ogólnego zarządu</t>
  </si>
  <si>
    <t>Koszt amortyzacji</t>
  </si>
  <si>
    <t>EBIT</t>
  </si>
  <si>
    <t>Koszty odsetkowe - dług / leasingi / obligacje</t>
  </si>
  <si>
    <t>Koszty odsetkowe - zobowiązania handlowe</t>
  </si>
  <si>
    <t>Koszty odsetkowe - pozostałe zobowiązania</t>
  </si>
  <si>
    <t>Koszty finansowe razem</t>
  </si>
  <si>
    <t>Zysk netto</t>
  </si>
  <si>
    <t>Marża netto</t>
  </si>
  <si>
    <t>Rachunek przepływów pieniężnych</t>
  </si>
  <si>
    <t>Korekta o amortyzację</t>
  </si>
  <si>
    <t>Zmiana kapitału obrotowego netto i pozostałe pozycje operacyjne</t>
  </si>
  <si>
    <t>Przepływy pieniężne z działalności operacyjnej</t>
  </si>
  <si>
    <t>Nakłady inwestycyjne</t>
  </si>
  <si>
    <t>Przepływy pieniężne z działalności inwestycyjnej</t>
  </si>
  <si>
    <t>Zmiana netto długu / leasingu / obligacji</t>
  </si>
  <si>
    <t>Przepływy pieniężne z działalności finansowej</t>
  </si>
  <si>
    <t>Zwiększenie / (zmniejszenie) netto środków pieniężnych</t>
  </si>
  <si>
    <t>Środki pieniężne na początek okresu</t>
  </si>
  <si>
    <t>Środki pieniężne na koniec okresu</t>
  </si>
  <si>
    <t>Bilans</t>
  </si>
  <si>
    <t>Aktywa PPE i ROU</t>
  </si>
  <si>
    <t>Pozostałe aktywa trwałe</t>
  </si>
  <si>
    <t>Pozostałe aktywa obrotowe</t>
  </si>
  <si>
    <t>Aktywa razem</t>
  </si>
  <si>
    <t>Kapitał własny</t>
  </si>
  <si>
    <t>Zobowiązania</t>
  </si>
  <si>
    <t>Obligacje (długoterminowe)</t>
  </si>
  <si>
    <t>Świadczenia pracownicze (długoterminowe)</t>
  </si>
  <si>
    <t>Rezerwa z tytułu odroczonego podatku</t>
  </si>
  <si>
    <t>Bierne rozliczenia międzyokresowe i przychody przyszłych okresów (długoterminowe)</t>
  </si>
  <si>
    <t>Obligacje (krótkoterminowe)</t>
  </si>
  <si>
    <t>Świadczenia pracownicze (krótkoterminowe)</t>
  </si>
  <si>
    <t>Pozostałe zobowiązania bieżące / (aktywa), netto</t>
  </si>
  <si>
    <t>Kapitał własny i zobowiązania razem</t>
  </si>
  <si>
    <t>Kontrola bilansu</t>
  </si>
  <si>
    <t>Kontrola przepływów pieniężnych</t>
  </si>
  <si>
    <t>Dług oprocentowany razem</t>
  </si>
  <si>
    <t>Dług netto</t>
  </si>
  <si>
    <t>Operacyjny kapitał obrotowy netto</t>
  </si>
  <si>
    <t>Harmonogram długu i WACC</t>
  </si>
  <si>
    <t>Prognozowany WACC wykorzystuje jawnie określoną docelową strukturę kapitału. Kapitalizacja rynkowa jest pokazana wyłącznie referencyjnie i nie wpływa na wagi WACC.</t>
  </si>
  <si>
    <t>Harmonogram długu</t>
  </si>
  <si>
    <t>Średni dług razem</t>
  </si>
  <si>
    <t>Podział odsetek od zobowiązań</t>
  </si>
  <si>
    <t>Łączne koszty odsetkowe finansowe</t>
  </si>
  <si>
    <t>Koszty odsetkowe - pozostałe</t>
  </si>
  <si>
    <t>Koszt długu przed opodatkowaniem</t>
  </si>
  <si>
    <t>Kalkulacja WACC</t>
  </si>
  <si>
    <t>Referencyjna cena rynkowa / akcję (PLN)</t>
  </si>
  <si>
    <t>Referencyjna kapitalizacja rynkowa</t>
  </si>
  <si>
    <t>Wartość przedsiębiorstwa</t>
  </si>
  <si>
    <t>Stawka podatkowa</t>
  </si>
  <si>
    <t>Koszt długu po opodatkowaniu</t>
  </si>
  <si>
    <t>Koszt kapitału własnego</t>
  </si>
  <si>
    <t>Docelowy udział kapitału własnego / faktyczny udział kapitału własnego</t>
  </si>
  <si>
    <t>Docelowy udział długu / faktyczny udział długu</t>
  </si>
  <si>
    <t>Wycena DCF</t>
  </si>
  <si>
    <t>Nominalny nielewarowany DCF z dwoma scenariuszami nakładów inwestycyjnych. Scenariusz 1 zakłada dalszy wzrost nakładów inwestycyjnych; Scenariusz 2 zakłada, że nakłady inwestycyjne w roku rezydualnym są równe amortyzacji.</t>
  </si>
  <si>
    <t>Rezydualny</t>
  </si>
  <si>
    <t>Kluczowe założenia wyceny</t>
  </si>
  <si>
    <t>Nielewarowane wolne przepływy pieniężne</t>
  </si>
  <si>
    <t>Podatki gotówkowe od EBIT</t>
  </si>
  <si>
    <t>NOPAT</t>
  </si>
  <si>
    <t>Mniej: zmiana operacyjnego kapitału obrotowego netto</t>
  </si>
  <si>
    <t>Nielewarowane wolne przepływy pieniężne</t>
  </si>
  <si>
    <t>Dyskontowanie</t>
  </si>
  <si>
    <t>Okres dyskontowania</t>
  </si>
  <si>
    <t>Współczynnik dyskontowy</t>
  </si>
  <si>
    <t>Wartość bieżąca nielewarowanych FCF</t>
  </si>
  <si>
    <t>Wartość rezydualna</t>
  </si>
  <si>
    <t>Wartość bieżąca wartości rezydualnej</t>
  </si>
  <si>
    <t>Podsumowanie wyceny — Scenariusz 1: dalszy wzrost nakładów inwestycyjnych</t>
  </si>
  <si>
    <t>Mniej: dług netto / (gotówka netto)</t>
  </si>
  <si>
    <t>Wartość kapitału własnego</t>
  </si>
  <si>
    <t>Implikowana wartość / akcję (PLN)</t>
  </si>
  <si>
    <t>Podsumowanie wyceny — Scenariusz 2: nakłady inwestycyjne w roku rezydualnym = amortyzacja</t>
  </si>
  <si>
    <t>NOPAT w roku rezydualnym</t>
  </si>
  <si>
    <t>Amortyzacja w roku rezydualnym</t>
  </si>
  <si>
    <t>Założenie nakładów inwestycyjnych w roku rezydualnym</t>
  </si>
  <si>
    <t>Zmiana kapitału obrotowego netto w roku rezydualnym</t>
  </si>
  <si>
    <t>UFCF w roku rezydualnym</t>
  </si>
  <si>
    <t>Kontrole modelu</t>
  </si>
  <si>
    <t>Kontrola bilansu</t>
  </si>
  <si>
    <t>Powiązanie harmonogramu długu z modelem trzech sprawozdań</t>
  </si>
  <si>
    <t>Powiązanie gotówki z długiem/WACC</t>
  </si>
  <si>
    <t>Kontrola źródła WACC dla DCF</t>
  </si>
  <si>
    <t>Kontrola wzrostu nakładów inwestycyjnych</t>
  </si>
  <si>
    <t>Kontrola scenariusza 2: nakłady inwestycyjne rezydualne = amortyzacja</t>
  </si>
  <si>
    <t>Analiza wrażliwości — implikowana wartość / akcję (PLN)</t>
  </si>
  <si>
    <t>Wiersze = wzrost rezydualny; kolumny = WACC. Formuły odwołują się do istniejącego DCF i nie zmieniają założeń modelu.</t>
  </si>
  <si>
    <t>Scenariusz 1: dalszy wzrost nakładów inwestycyjnych</t>
  </si>
  <si>
    <t>g \ WACC</t>
  </si>
  <si>
    <t>Scenariusz 2: nakłady inwestycyjne w roku rezydualnym = amortyzacja</t>
  </si>
  <si>
    <t>Podsumowanie projektu</t>
  </si>
  <si>
    <t>Cena z 02.01.2026</t>
  </si>
  <si>
    <t>Mnożnik EV/EBITDA</t>
  </si>
  <si>
    <t>Dino spłaca całe zadłużenie z tytułu obligacji w 2026 r.</t>
  </si>
  <si>
    <t>Łącznie daje 5000 sklepów w 2030 r.</t>
  </si>
  <si>
    <t>Pozostałe</t>
  </si>
  <si>
    <t>Zmiana należności</t>
  </si>
  <si>
    <t>Wszystkie kontrole powinny wynosić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</si>
</sst>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[Red]\(#,##0.00\);\-"/>
    <numFmt numFmtId="165" formatCode="0.00%;[Red]\(0.00%\);\-"/>
    <numFmt numFmtId="166" formatCode="#,##0;[Red]\(#,##0\);\-"/>
    <numFmt numFmtId="167" formatCode="0.00;[Red]\(0.00\);\-"/>
    <numFmt numFmtId="168" formatCode="0.0%"/>
    <numFmt numFmtId="169" formatCode="#,##0.0000;[Red]\(#,##0.0000\);\-"/>
    <numFmt numFmtId="170" formatCode="0.0000%"/>
    <numFmt numFmtId="171" formatCode="#,##0.000000;[Red]\(#,##0.000000\);\-"/>
  </numFmts>
  <fonts count="16">
    <font>
      <sz val="11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sz val="10"/>
      <color theme="1"/>
      <name val="Carlito"/>
    </font>
    <font>
      <b/>
      <sz val="10"/>
      <name val="Carlito"/>
    </font>
    <font>
      <sz val="11"/>
      <color theme="5"/>
      <name val="Carlito"/>
    </font>
    <font>
      <sz val="10"/>
      <color theme="5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5A83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left" vertical="center" wrapText="1"/>
    </xf>
    <xf numFmtId="1" fontId="5" fillId="4" borderId="0" xfId="0" applyNumberFormat="1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wrapText="1"/>
    </xf>
    <xf numFmtId="0" fontId="5" fillId="6" borderId="0" xfId="0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 wrapText="1"/>
    </xf>
    <xf numFmtId="4" fontId="6" fillId="5" borderId="0" xfId="0" applyNumberFormat="1" applyFont="1" applyFill="1" applyAlignment="1">
      <alignment horizontal="right"/>
    </xf>
    <xf numFmtId="1" fontId="7" fillId="0" borderId="0" xfId="0" applyNumberFormat="1" applyFont="1" applyAlignment="1">
      <alignment horizontal="right"/>
    </xf>
    <xf numFmtId="3" fontId="6" fillId="5" borderId="0" xfId="0" applyNumberFormat="1" applyFont="1" applyFill="1" applyAlignment="1">
      <alignment horizontal="right"/>
    </xf>
    <xf numFmtId="166" fontId="8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66" fontId="9" fillId="0" borderId="0" xfId="0" applyNumberFormat="1" applyFont="1" applyAlignment="1">
      <alignment horizontal="right"/>
    </xf>
    <xf numFmtId="166" fontId="10" fillId="0" borderId="1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6" fontId="11" fillId="7" borderId="0" xfId="0" applyNumberFormat="1" applyFont="1" applyFill="1" applyAlignment="1">
      <alignment horizontal="right"/>
    </xf>
    <xf numFmtId="166" fontId="12" fillId="0" borderId="0" xfId="0" applyNumberFormat="1" applyFont="1" applyAlignment="1">
      <alignment horizontal="right"/>
    </xf>
    <xf numFmtId="166" fontId="12" fillId="7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0" applyNumberFormat="1"/>
    <xf numFmtId="164" fontId="4" fillId="0" borderId="0" xfId="0" applyNumberFormat="1" applyFont="1" applyAlignment="1">
      <alignment vertical="top" wrapText="1"/>
    </xf>
    <xf numFmtId="0" fontId="13" fillId="10" borderId="8" xfId="0" applyFont="1" applyFill="1" applyBorder="1" applyAlignment="1">
      <alignment horizontal="center" vertical="center"/>
    </xf>
    <xf numFmtId="168" fontId="13" fillId="10" borderId="9" xfId="0" applyNumberFormat="1" applyFont="1" applyFill="1" applyBorder="1" applyAlignment="1">
      <alignment horizontal="center" vertical="center"/>
    </xf>
    <xf numFmtId="168" fontId="13" fillId="1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15" fillId="9" borderId="8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8" fontId="15" fillId="9" borderId="5" xfId="0" applyNumberFormat="1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6" fontId="3" fillId="0" borderId="10" xfId="0" applyNumberFormat="1" applyFont="1" applyBorder="1" applyAlignment="1">
      <alignment horizontal="right"/>
    </xf>
    <xf numFmtId="169" fontId="0" fillId="0" borderId="0" xfId="0" applyNumberFormat="1"/>
    <xf numFmtId="170" fontId="0" fillId="0" borderId="0" xfId="0" quotePrefix="1" applyNumberFormat="1"/>
    <xf numFmtId="171" fontId="0" fillId="0" borderId="0" xfId="0" applyNumberFormat="1"/>
    <xf numFmtId="10" fontId="3" fillId="0" borderId="10" xfId="0" applyNumberFormat="1" applyFont="1" applyBorder="1" applyAlignment="1">
      <alignment horizontal="right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166" fontId="5" fillId="2" borderId="0" xfId="0" applyNumberFormat="1" applyFont="1" applyFill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4" fillId="9" borderId="5" xfId="0" applyFont="1" applyFill="1" applyBorder="1" applyAlignment="1">
      <alignment vertical="center" wrapText="1"/>
    </xf>
    <xf numFmtId="0" fontId="14" fillId="9" borderId="6" xfId="0" applyFont="1" applyFill="1" applyBorder="1" applyAlignment="1">
      <alignment vertical="center" wrapText="1"/>
    </xf>
    <xf numFmtId="0" fontId="14" fillId="9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showGridLines="0" tabSelected="1" workbookViewId="0">
      <selection activeCell="G7" sqref="G7"/>
    </sheetView>
  </sheetViews>
  <sheetFormatPr defaultRowHeight="13.8"/>
  <cols>
    <col min="1" max="1" width="34" customWidth="1"/>
    <col min="2" max="4" width="15" customWidth="1"/>
    <col min="5" max="5" width="26" customWidth="1"/>
    <col min="6" max="6" width="14" customWidth="1"/>
    <col min="7" max="7" width="16" customWidth="1"/>
    <col min="8" max="8" width="14" customWidth="1"/>
    <col min="9" max="9" width="28" customWidth="1"/>
    <col min="10" max="12" width="15" customWidth="1"/>
  </cols>
  <sheetData>
    <row r="1" spans="1:12" ht="22.05" customHeight="1">
      <c r="A1" s="64" t="s">
        <v>0</v>
      </c>
      <c r="B1" s="65"/>
      <c r="C1" s="65"/>
      <c r="D1" s="65"/>
      <c r="E1" s="65"/>
      <c r="F1" s="65"/>
      <c r="G1" s="65"/>
      <c r="H1" s="65"/>
      <c r="I1" s="66"/>
      <c r="J1" s="22"/>
      <c r="K1" s="1"/>
      <c r="L1" s="1"/>
    </row>
    <row r="2" spans="1:12" ht="28.05" customHeight="1">
      <c r="A2" s="70" t="s">
        <v>291</v>
      </c>
      <c r="B2" s="71"/>
      <c r="C2" s="71"/>
      <c r="D2" s="71"/>
      <c r="E2" s="71"/>
      <c r="F2" s="71"/>
      <c r="G2" s="71"/>
      <c r="H2" s="71"/>
      <c r="I2" s="71"/>
      <c r="J2" s="23"/>
    </row>
    <row r="3" spans="1:12" ht="19.95" customHeight="1">
      <c r="A3" s="67" t="s">
        <v>1</v>
      </c>
      <c r="B3" s="68"/>
      <c r="C3" s="68"/>
      <c r="D3" s="68"/>
      <c r="E3" s="68"/>
      <c r="F3" s="68"/>
      <c r="G3" s="68"/>
      <c r="H3" s="68"/>
      <c r="I3" s="68"/>
      <c r="J3" s="5"/>
    </row>
    <row r="4" spans="1:12" ht="18" customHeight="1">
      <c r="A4" s="29" t="s">
        <v>2</v>
      </c>
      <c r="B4" s="30" t="s">
        <v>3</v>
      </c>
      <c r="C4" s="30" t="s">
        <v>4</v>
      </c>
      <c r="D4" s="30" t="s">
        <v>5</v>
      </c>
      <c r="E4" s="30"/>
      <c r="F4" s="30" t="s">
        <v>2</v>
      </c>
      <c r="G4" s="30" t="s">
        <v>6</v>
      </c>
      <c r="H4" s="30" t="s">
        <v>7</v>
      </c>
      <c r="I4" s="30"/>
      <c r="J4" s="7"/>
    </row>
    <row r="5" spans="1:12" ht="18" customHeight="1">
      <c r="A5" s="2" t="s">
        <v>8</v>
      </c>
      <c r="B5" s="16">
        <f>'Model 3 sprawozdań'!H6</f>
        <v>39947285.893500008</v>
      </c>
      <c r="C5" s="16">
        <f>'Model 3 sprawozdań'!L6</f>
        <v>68567755.043557733</v>
      </c>
      <c r="D5" s="13">
        <f>POWER(C5/B5,1/4)-1</f>
        <v>0.14461165347192484</v>
      </c>
      <c r="F5" s="3" t="s">
        <v>9</v>
      </c>
      <c r="G5" s="3">
        <f>'Wycena DCF'!B26</f>
        <v>12.830481823654534</v>
      </c>
      <c r="H5" s="3" t="s">
        <v>10</v>
      </c>
      <c r="I5" s="28"/>
      <c r="J5" s="3"/>
    </row>
    <row r="6" spans="1:12" ht="18" customHeight="1">
      <c r="A6" s="2" t="s">
        <v>11</v>
      </c>
      <c r="B6" s="16">
        <f>'Model 3 sprawozdań'!H15</f>
        <v>2607637.5960337995</v>
      </c>
      <c r="C6" s="16">
        <f>'Model 3 sprawozdań'!L15</f>
        <v>4693836.1636217376</v>
      </c>
      <c r="D6" s="13">
        <f>POWER(C6/B6,1/4)-1</f>
        <v>0.15829764454169104</v>
      </c>
      <c r="F6" s="3" t="s">
        <v>9</v>
      </c>
      <c r="G6" s="3">
        <f>'Wycena DCF'!B38</f>
        <v>42.773843700087987</v>
      </c>
      <c r="H6" s="3" t="s">
        <v>12</v>
      </c>
      <c r="I6" s="28"/>
      <c r="J6" s="3"/>
    </row>
    <row r="7" spans="1:12" ht="18" customHeight="1">
      <c r="A7" s="2" t="s">
        <v>13</v>
      </c>
      <c r="B7" s="13">
        <f>'Model 3 sprawozdań'!H19</f>
        <v>5.027696532339633E-2</v>
      </c>
      <c r="C7" s="13">
        <f>'Model 3 sprawozdań'!L19</f>
        <v>4.9455444700500596E-2</v>
      </c>
      <c r="D7" s="13">
        <f>C7-B7</f>
        <v>-8.2152062289573419E-4</v>
      </c>
      <c r="F7" s="3" t="s">
        <v>14</v>
      </c>
      <c r="G7" s="3">
        <f>'Wycena DCF'!B27</f>
        <v>41</v>
      </c>
      <c r="H7" s="3"/>
      <c r="I7" s="28"/>
      <c r="J7" s="3"/>
    </row>
    <row r="8" spans="1:12" ht="18" customHeight="1">
      <c r="A8" s="2" t="s">
        <v>15</v>
      </c>
      <c r="B8" s="13">
        <f>'Dług i WACC'!H38</f>
        <v>8.4518850000000006E-2</v>
      </c>
      <c r="C8" s="13">
        <f>'Dług i WACC'!L38</f>
        <v>8.4518850000000006E-2</v>
      </c>
      <c r="D8" s="13">
        <f>C8-B8</f>
        <v>0</v>
      </c>
      <c r="F8" s="3" t="s">
        <v>16</v>
      </c>
      <c r="G8" s="13">
        <f>'Wycena DCF'!B28</f>
        <v>-0.6870614189352553</v>
      </c>
      <c r="H8" s="3" t="s">
        <v>10</v>
      </c>
      <c r="I8" s="28"/>
      <c r="J8" s="3"/>
    </row>
    <row r="9" spans="1:12" ht="18" customHeight="1">
      <c r="A9" s="2" t="s">
        <v>17</v>
      </c>
      <c r="B9" s="16">
        <f>'Model 3 sprawozdań'!H89</f>
        <v>428014.29852494271</v>
      </c>
      <c r="C9" s="16">
        <f>'Model 3 sprawozdań'!L89</f>
        <v>-1372666.3681771224</v>
      </c>
      <c r="D9" s="16">
        <f>C9-B9</f>
        <v>-1800680.6667020652</v>
      </c>
      <c r="F9" s="3" t="s">
        <v>16</v>
      </c>
      <c r="G9" s="13">
        <f>'Wycena DCF'!B39</f>
        <v>4.3264480489950907E-2</v>
      </c>
      <c r="H9" s="3" t="s">
        <v>12</v>
      </c>
      <c r="I9" s="28"/>
      <c r="J9" s="3"/>
    </row>
    <row r="10" spans="1:12" ht="18" customHeight="1">
      <c r="A10" s="2"/>
      <c r="B10" s="3"/>
      <c r="C10" s="3"/>
      <c r="D10" s="3"/>
      <c r="E10" s="3"/>
      <c r="F10" s="16"/>
      <c r="G10" s="3"/>
      <c r="H10" s="3"/>
      <c r="I10" s="28"/>
      <c r="J10" s="3"/>
    </row>
    <row r="11" spans="1:12" ht="19.95" customHeight="1">
      <c r="A11" s="67" t="s">
        <v>18</v>
      </c>
      <c r="B11" s="68"/>
      <c r="C11" s="68"/>
      <c r="D11" s="68"/>
      <c r="E11" s="68"/>
      <c r="F11" s="68"/>
      <c r="G11" s="68"/>
      <c r="H11" s="68"/>
      <c r="I11" s="68"/>
      <c r="J11" s="5"/>
    </row>
    <row r="12" spans="1:12" ht="18" customHeight="1">
      <c r="A12" s="29" t="s">
        <v>2</v>
      </c>
      <c r="B12" s="30" t="s">
        <v>3</v>
      </c>
      <c r="C12" s="30" t="s">
        <v>19</v>
      </c>
      <c r="D12" s="30" t="s">
        <v>20</v>
      </c>
      <c r="E12" s="30" t="s">
        <v>21</v>
      </c>
      <c r="F12" s="30" t="s">
        <v>4</v>
      </c>
      <c r="G12" s="7"/>
      <c r="H12" s="7"/>
      <c r="I12" s="7"/>
      <c r="J12" s="7"/>
    </row>
    <row r="13" spans="1:12">
      <c r="A13" s="2" t="s">
        <v>22</v>
      </c>
      <c r="B13" s="13">
        <f>Założenia!B26</f>
        <v>7.0000000000000007E-2</v>
      </c>
      <c r="C13" s="13">
        <f>Założenia!C26</f>
        <v>5.8000000000000003E-2</v>
      </c>
      <c r="D13" s="13">
        <f>Założenia!D26</f>
        <v>5.6000000000000001E-2</v>
      </c>
      <c r="E13" s="13">
        <f>Założenia!E26</f>
        <v>5.3999999999999999E-2</v>
      </c>
      <c r="F13" s="13">
        <f>Założenia!F26</f>
        <v>5.1999999999999998E-2</v>
      </c>
      <c r="G13" s="3"/>
      <c r="H13" s="3"/>
      <c r="I13" s="3"/>
      <c r="J13" s="3"/>
    </row>
    <row r="14" spans="1:12">
      <c r="A14" s="2" t="s">
        <v>23</v>
      </c>
      <c r="B14" s="13">
        <f>Założenia!B27</f>
        <v>0.04</v>
      </c>
      <c r="C14" s="13">
        <f>Założenia!C27</f>
        <v>3.5000000000000003E-2</v>
      </c>
      <c r="D14" s="13">
        <f>Założenia!D27</f>
        <v>0.03</v>
      </c>
      <c r="E14" s="13">
        <f>Założenia!E27</f>
        <v>2.75E-2</v>
      </c>
      <c r="F14" s="13">
        <f>Założenia!F27</f>
        <v>2.5000000000000001E-2</v>
      </c>
      <c r="G14" s="3"/>
      <c r="H14" s="3"/>
      <c r="I14" s="3"/>
      <c r="J14" s="3"/>
    </row>
    <row r="15" spans="1:12">
      <c r="A15" s="2" t="s">
        <v>24</v>
      </c>
      <c r="B15" s="13">
        <f>Założenia!B28</f>
        <v>0.23699999999999999</v>
      </c>
      <c r="C15" s="13">
        <f>Założenia!C28</f>
        <v>0.23799999999999999</v>
      </c>
      <c r="D15" s="13">
        <f>Założenia!D28</f>
        <v>0.23899999999999999</v>
      </c>
      <c r="E15" s="13">
        <f>Założenia!E28</f>
        <v>0.24</v>
      </c>
      <c r="F15" s="13">
        <f>Założenia!F28</f>
        <v>0.24</v>
      </c>
      <c r="G15" s="3"/>
      <c r="H15" s="3"/>
      <c r="I15" s="3"/>
      <c r="J15" s="3"/>
    </row>
    <row r="16" spans="1:12">
      <c r="A16" s="2" t="s">
        <v>25</v>
      </c>
      <c r="B16" s="13">
        <f>Założenia!B32</f>
        <v>6.0999999999999999E-2</v>
      </c>
      <c r="C16" s="13">
        <f>Założenia!C32</f>
        <v>5.8999999999999997E-2</v>
      </c>
      <c r="D16" s="13">
        <f>Założenia!D32</f>
        <v>5.7000000000000002E-2</v>
      </c>
      <c r="E16" s="13">
        <f>Założenia!E32</f>
        <v>5.5E-2</v>
      </c>
      <c r="F16" s="13">
        <f>Założenia!F32</f>
        <v>5.2999999999999999E-2</v>
      </c>
      <c r="G16" s="3"/>
      <c r="H16" s="3"/>
      <c r="I16" s="3"/>
      <c r="J16" s="3"/>
    </row>
    <row r="17" spans="1:10">
      <c r="A17" s="2" t="s">
        <v>26</v>
      </c>
      <c r="B17" s="13">
        <f>Założenia!B16</f>
        <v>0.95</v>
      </c>
      <c r="C17" s="13">
        <f>Założenia!B16</f>
        <v>0.95</v>
      </c>
      <c r="D17" s="13">
        <f>Założenia!B16</f>
        <v>0.95</v>
      </c>
      <c r="E17" s="13">
        <f>Założenia!B16</f>
        <v>0.95</v>
      </c>
      <c r="F17" s="13">
        <f>Założenia!B16</f>
        <v>0.95</v>
      </c>
      <c r="G17" s="3"/>
      <c r="H17" s="3"/>
      <c r="I17" s="3"/>
      <c r="J17" s="3"/>
    </row>
    <row r="18" spans="1:10">
      <c r="A18" s="2" t="s">
        <v>27</v>
      </c>
      <c r="B18" s="13">
        <f>Założenia!B17</f>
        <v>5.0000000000000044E-2</v>
      </c>
      <c r="C18" s="13">
        <f>Założenia!B17</f>
        <v>5.0000000000000044E-2</v>
      </c>
      <c r="D18" s="13">
        <f>Założenia!B17</f>
        <v>5.0000000000000044E-2</v>
      </c>
      <c r="E18" s="13">
        <f>Założenia!B17</f>
        <v>5.0000000000000044E-2</v>
      </c>
      <c r="F18" s="13">
        <f>Założenia!B17</f>
        <v>5.0000000000000044E-2</v>
      </c>
      <c r="G18" s="3"/>
      <c r="H18" s="3"/>
      <c r="I18" s="3"/>
      <c r="J18" s="3"/>
    </row>
    <row r="19" spans="1:10" ht="19.95" customHeight="1">
      <c r="A19" s="67" t="s">
        <v>28</v>
      </c>
      <c r="B19" s="68"/>
      <c r="C19" s="68"/>
      <c r="D19" s="68"/>
      <c r="E19" s="68"/>
      <c r="F19" s="68"/>
      <c r="G19" s="68"/>
      <c r="H19" s="68"/>
      <c r="I19" s="68"/>
      <c r="J19" s="5"/>
    </row>
    <row r="20" spans="1:10" ht="18" customHeight="1">
      <c r="A20" s="29" t="s">
        <v>29</v>
      </c>
      <c r="B20" s="30" t="s">
        <v>30</v>
      </c>
      <c r="C20" s="30" t="s">
        <v>31</v>
      </c>
      <c r="D20" s="30" t="s">
        <v>13</v>
      </c>
      <c r="E20" s="30" t="s">
        <v>32</v>
      </c>
      <c r="F20" s="30" t="s">
        <v>15</v>
      </c>
      <c r="G20" s="7"/>
      <c r="H20" s="7"/>
      <c r="I20" s="7"/>
      <c r="J20" s="7"/>
    </row>
    <row r="21" spans="1:10">
      <c r="A21" s="21">
        <v>2020</v>
      </c>
      <c r="B21" s="16">
        <f>'Model 3 sprawozdań'!B6</f>
        <v>10125815</v>
      </c>
      <c r="C21" s="16">
        <f>'Model 3 sprawozdań'!B15</f>
        <v>837859</v>
      </c>
      <c r="D21" s="13">
        <f>'Model 3 sprawozdań'!B19</f>
        <v>6.3176445550308796E-2</v>
      </c>
      <c r="E21" s="3"/>
      <c r="F21" s="13">
        <f>'Dług i WACC'!B38</f>
        <v>3.2191038414489212E-2</v>
      </c>
      <c r="G21" s="3"/>
      <c r="H21" s="3"/>
      <c r="I21" s="3"/>
      <c r="J21" s="3"/>
    </row>
    <row r="22" spans="1:10">
      <c r="A22" s="21">
        <v>2021</v>
      </c>
      <c r="B22" s="16">
        <f>'Model 3 sprawozdań'!C6</f>
        <v>13362012</v>
      </c>
      <c r="C22" s="16">
        <f>'Model 3 sprawozdań'!C15</f>
        <v>1023993</v>
      </c>
      <c r="D22" s="13">
        <f>'Model 3 sprawozdań'!C19</f>
        <v>5.8123731665560549E-2</v>
      </c>
      <c r="E22" s="3"/>
      <c r="F22" s="13">
        <f>'Dług i WACC'!C38</f>
        <v>3.6203272358415937E-2</v>
      </c>
      <c r="G22" s="3"/>
      <c r="H22" s="3"/>
      <c r="I22" s="3"/>
      <c r="J22" s="3"/>
    </row>
    <row r="23" spans="1:10">
      <c r="A23" s="21">
        <v>2022</v>
      </c>
      <c r="B23" s="16">
        <f>'Model 3 sprawozdań'!D6</f>
        <v>19801622</v>
      </c>
      <c r="C23" s="16">
        <f>'Model 3 sprawozdań'!D15</f>
        <v>1537819</v>
      </c>
      <c r="D23" s="13">
        <f>'Model 3 sprawozdań'!D19</f>
        <v>6.2504475643459914E-2</v>
      </c>
      <c r="E23" s="3"/>
      <c r="F23" s="13">
        <f>'Dług i WACC'!D38</f>
        <v>7.9988476570337058E-2</v>
      </c>
      <c r="G23" s="3"/>
      <c r="H23" s="3"/>
      <c r="I23" s="3"/>
      <c r="J23" s="3"/>
    </row>
    <row r="24" spans="1:10">
      <c r="A24" s="21">
        <v>2023</v>
      </c>
      <c r="B24" s="16">
        <f>'Model 3 sprawozdań'!E6</f>
        <v>25666255</v>
      </c>
      <c r="C24" s="16">
        <f>'Model 3 sprawozdań'!E15</f>
        <v>1875855</v>
      </c>
      <c r="D24" s="13">
        <f>'Model 3 sprawozdań'!E19</f>
        <v>5.918381937684325E-2</v>
      </c>
      <c r="E24" s="3"/>
      <c r="F24" s="13">
        <f>'Dług i WACC'!E38</f>
        <v>8.2561058881058719E-2</v>
      </c>
      <c r="G24" s="3"/>
      <c r="H24" s="3"/>
      <c r="I24" s="3"/>
      <c r="J24" s="3"/>
    </row>
    <row r="25" spans="1:10">
      <c r="A25" s="21">
        <v>2024</v>
      </c>
      <c r="B25" s="16">
        <f>'Model 3 sprawozdań'!F6</f>
        <v>29273792</v>
      </c>
      <c r="C25" s="16">
        <f>'Model 3 sprawozdań'!F15</f>
        <v>1908330</v>
      </c>
      <c r="D25" s="13">
        <f>'Model 3 sprawozdań'!F19</f>
        <v>5.1211370224943868E-2</v>
      </c>
      <c r="E25" s="3"/>
      <c r="F25" s="13">
        <f>'Dług i WACC'!F38</f>
        <v>8.050458291712749E-2</v>
      </c>
      <c r="G25" s="3"/>
      <c r="H25" s="3"/>
      <c r="I25" s="3"/>
      <c r="J25" s="3"/>
    </row>
    <row r="26" spans="1:10">
      <c r="A26" s="21">
        <v>2025</v>
      </c>
      <c r="B26" s="16">
        <f>'Model 3 sprawozdań'!G6</f>
        <v>33634155</v>
      </c>
      <c r="C26" s="16">
        <f>'Model 3 sprawozdań'!G15</f>
        <v>2041282</v>
      </c>
      <c r="D26" s="13">
        <f>'Model 3 sprawozdań'!G19</f>
        <v>4.5675326167700661E-2</v>
      </c>
      <c r="E26" s="3"/>
      <c r="F26" s="13">
        <f>'Dług i WACC'!G38</f>
        <v>8.0380149260698003E-2</v>
      </c>
      <c r="G26" s="3"/>
      <c r="H26" s="3"/>
      <c r="I26" s="3"/>
      <c r="J26" s="3"/>
    </row>
    <row r="27" spans="1:10">
      <c r="A27" s="21">
        <v>2026</v>
      </c>
      <c r="B27" s="16">
        <f>'Model 3 sprawozdań'!H6</f>
        <v>39947285.893500008</v>
      </c>
      <c r="C27" s="16">
        <f>'Model 3 sprawozdań'!H15</f>
        <v>2607637.5960337995</v>
      </c>
      <c r="D27" s="13">
        <f>'Model 3 sprawozdań'!H19</f>
        <v>5.027696532339633E-2</v>
      </c>
      <c r="E27" s="16">
        <f>'Wycena DCF'!B14</f>
        <v>136609.48663514759</v>
      </c>
      <c r="F27" s="13">
        <f>'Dług i WACC'!H38</f>
        <v>8.4518850000000006E-2</v>
      </c>
      <c r="G27" s="3"/>
      <c r="H27" s="3"/>
      <c r="I27" s="3"/>
      <c r="J27" s="3"/>
    </row>
    <row r="28" spans="1:10">
      <c r="A28" s="21">
        <v>2027</v>
      </c>
      <c r="B28" s="16">
        <f>'Model 3 sprawozdań'!I6</f>
        <v>46490651.322855316</v>
      </c>
      <c r="C28" s="16">
        <f>'Model 3 sprawozdań'!I15</f>
        <v>3083914.2142269942</v>
      </c>
      <c r="D28" s="13">
        <f>'Model 3 sprawozdań'!I19</f>
        <v>5.0334072044090891E-2</v>
      </c>
      <c r="E28" s="16">
        <f>'Wycena DCF'!C14</f>
        <v>256777.0051031569</v>
      </c>
      <c r="F28" s="13">
        <f>'Dług i WACC'!I38</f>
        <v>8.4518850000000006E-2</v>
      </c>
      <c r="G28" s="3"/>
      <c r="H28" s="3"/>
      <c r="I28" s="3"/>
      <c r="J28" s="3"/>
    </row>
    <row r="29" spans="1:10">
      <c r="A29" s="21">
        <v>2028</v>
      </c>
      <c r="B29" s="16">
        <f>'Model 3 sprawozdań'!J6</f>
        <v>53512599.298659384</v>
      </c>
      <c r="C29" s="16">
        <f>'Model 3 sprawozdań'!J15</f>
        <v>3605803.5138204172</v>
      </c>
      <c r="D29" s="13">
        <f>'Model 3 sprawozdań'!J19</f>
        <v>5.0382327920496864E-2</v>
      </c>
      <c r="E29" s="16">
        <f>'Wycena DCF'!D14</f>
        <v>432514.64620134979</v>
      </c>
      <c r="F29" s="13">
        <f>'Dług i WACC'!J38</f>
        <v>8.4518850000000006E-2</v>
      </c>
      <c r="G29" s="3"/>
      <c r="H29" s="3"/>
      <c r="I29" s="3"/>
      <c r="J29" s="3"/>
    </row>
    <row r="30" spans="1:10">
      <c r="A30" s="21">
        <v>2029</v>
      </c>
      <c r="B30" s="16">
        <f>'Model 3 sprawozdań'!K6</f>
        <v>60914462.033649959</v>
      </c>
      <c r="C30" s="16">
        <f>'Model 3 sprawozdań'!K15</f>
        <v>4167907.9070899705</v>
      </c>
      <c r="D30" s="13">
        <f>'Model 3 sprawozdań'!K19</f>
        <v>5.0422305113481308E-2</v>
      </c>
      <c r="E30" s="16">
        <f>'Wycena DCF'!E14</f>
        <v>647858.54284879658</v>
      </c>
      <c r="F30" s="13">
        <f>'Dług i WACC'!K38</f>
        <v>8.4518850000000006E-2</v>
      </c>
      <c r="G30" s="3"/>
      <c r="H30" s="3"/>
      <c r="I30" s="3"/>
      <c r="J30" s="3"/>
    </row>
    <row r="31" spans="1:10">
      <c r="A31" s="21">
        <v>2030</v>
      </c>
      <c r="B31" s="16">
        <f>'Model 3 sprawozdań'!L6</f>
        <v>68567755.043557733</v>
      </c>
      <c r="C31" s="16">
        <f>'Model 3 sprawozdań'!L15</f>
        <v>4693836.1636217376</v>
      </c>
      <c r="D31" s="13">
        <f>'Model 3 sprawozdań'!L19</f>
        <v>4.9455444700500596E-2</v>
      </c>
      <c r="E31" s="16">
        <f>'Wycena DCF'!F14</f>
        <v>846822.43038685899</v>
      </c>
      <c r="F31" s="13">
        <f>'Dług i WACC'!L38</f>
        <v>8.4518850000000006E-2</v>
      </c>
      <c r="G31" s="3"/>
      <c r="H31" s="3"/>
      <c r="I31" s="3"/>
      <c r="J31" s="3"/>
    </row>
  </sheetData>
  <mergeCells count="5">
    <mergeCell ref="A1:I1"/>
    <mergeCell ref="A2:I2"/>
    <mergeCell ref="A3:I3"/>
    <mergeCell ref="A11:I11"/>
    <mergeCell ref="A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showGridLines="0" topLeftCell="A14" zoomScale="91" workbookViewId="0">
      <selection activeCell="E30" sqref="E30"/>
    </sheetView>
  </sheetViews>
  <sheetFormatPr defaultRowHeight="13.8"/>
  <cols>
    <col min="1" max="1" width="38" customWidth="1"/>
    <col min="2" max="7" width="13" customWidth="1"/>
    <col min="8" max="8" width="55" customWidth="1"/>
  </cols>
  <sheetData>
    <row r="1" spans="1:8" ht="22.05" customHeight="1">
      <c r="A1" s="64" t="s">
        <v>33</v>
      </c>
      <c r="B1" s="65"/>
      <c r="C1" s="65"/>
      <c r="D1" s="65"/>
      <c r="E1" s="65"/>
      <c r="F1" s="65"/>
      <c r="G1" s="65"/>
      <c r="H1" s="66"/>
    </row>
    <row r="2" spans="1:8" ht="30" customHeight="1">
      <c r="A2" s="67" t="s">
        <v>34</v>
      </c>
      <c r="B2" s="68"/>
      <c r="C2" s="68"/>
      <c r="D2" s="68"/>
      <c r="E2" s="68"/>
      <c r="F2" s="68"/>
      <c r="G2" s="68"/>
      <c r="H2" s="68"/>
    </row>
    <row r="3" spans="1:8" ht="18" customHeight="1">
      <c r="A3" s="29" t="s">
        <v>2</v>
      </c>
      <c r="B3" s="30" t="s">
        <v>6</v>
      </c>
      <c r="C3" s="30"/>
      <c r="D3" s="30"/>
      <c r="E3" s="30"/>
      <c r="F3" s="30"/>
      <c r="G3" s="30"/>
      <c r="H3" s="30" t="s">
        <v>35</v>
      </c>
    </row>
    <row r="4" spans="1:8" ht="18" customHeight="1">
      <c r="A4" t="s">
        <v>293</v>
      </c>
      <c r="B4" s="32">
        <v>15</v>
      </c>
      <c r="C4" s="10"/>
      <c r="D4" s="10"/>
      <c r="E4" s="10"/>
      <c r="F4" s="10"/>
      <c r="G4" s="10"/>
    </row>
    <row r="5" spans="1:8" ht="26.4">
      <c r="A5" s="2" t="s">
        <v>36</v>
      </c>
      <c r="B5" s="10">
        <v>5.8799999999999998E-2</v>
      </c>
      <c r="C5" s="10"/>
      <c r="D5" s="10"/>
      <c r="E5" s="10"/>
      <c r="F5" s="10"/>
      <c r="G5" s="10"/>
      <c r="H5" s="28" t="s">
        <v>37</v>
      </c>
    </row>
    <row r="6" spans="1:8">
      <c r="A6" s="2" t="s">
        <v>38</v>
      </c>
      <c r="B6" s="32">
        <v>0.51</v>
      </c>
      <c r="C6" s="10"/>
      <c r="D6" s="10"/>
      <c r="E6" s="10"/>
      <c r="F6" s="10"/>
      <c r="G6" s="10"/>
      <c r="H6" s="28" t="s">
        <v>39</v>
      </c>
    </row>
    <row r="7" spans="1:8">
      <c r="A7" s="2" t="s">
        <v>40</v>
      </c>
      <c r="B7" s="10">
        <v>5.33E-2</v>
      </c>
      <c r="C7" s="10"/>
      <c r="D7" s="10"/>
      <c r="E7" s="10"/>
      <c r="F7" s="10"/>
      <c r="G7" s="10"/>
      <c r="H7" s="28" t="s">
        <v>41</v>
      </c>
    </row>
    <row r="8" spans="1:8">
      <c r="A8" s="2" t="s">
        <v>42</v>
      </c>
      <c r="B8" s="10">
        <v>0.03</v>
      </c>
      <c r="C8" s="10"/>
      <c r="D8" s="10"/>
      <c r="E8" s="10"/>
      <c r="F8" s="10"/>
      <c r="G8" s="10"/>
      <c r="H8" s="28"/>
    </row>
    <row r="9" spans="1:8" ht="18" customHeight="1">
      <c r="A9" s="2" t="s">
        <v>43</v>
      </c>
      <c r="B9" s="32">
        <f>'Dane źródłowe'!G100</f>
        <v>41</v>
      </c>
      <c r="C9" s="9"/>
      <c r="D9" s="9"/>
      <c r="E9" s="9"/>
      <c r="F9" s="9"/>
      <c r="G9" s="9"/>
      <c r="H9" s="28" t="s">
        <v>292</v>
      </c>
    </row>
    <row r="10" spans="1:8">
      <c r="A10" s="2" t="s">
        <v>44</v>
      </c>
      <c r="B10" s="34">
        <f>'Dane źródłowe'!G97</f>
        <v>980400</v>
      </c>
      <c r="C10" s="9"/>
      <c r="D10" s="9"/>
      <c r="E10" s="9"/>
      <c r="F10" s="9"/>
      <c r="G10" s="9"/>
      <c r="H10" s="28" t="s">
        <v>45</v>
      </c>
    </row>
    <row r="11" spans="1:8">
      <c r="A11" s="2" t="s">
        <v>46</v>
      </c>
      <c r="B11" s="9">
        <v>365</v>
      </c>
      <c r="C11" s="9"/>
      <c r="D11" s="9"/>
      <c r="E11" s="9"/>
      <c r="F11" s="9"/>
      <c r="G11" s="9"/>
      <c r="H11" s="28" t="s">
        <v>47</v>
      </c>
    </row>
    <row r="12" spans="1:8">
      <c r="A12" s="2" t="s">
        <v>48</v>
      </c>
      <c r="B12" s="9">
        <v>1000</v>
      </c>
      <c r="C12" s="9"/>
      <c r="D12" s="9"/>
      <c r="E12" s="9"/>
      <c r="F12" s="9"/>
      <c r="G12" s="9"/>
      <c r="H12" s="28" t="s">
        <v>49</v>
      </c>
    </row>
    <row r="13" spans="1:8">
      <c r="A13" s="2" t="s">
        <v>50</v>
      </c>
      <c r="B13" s="10">
        <v>0.02</v>
      </c>
      <c r="C13" s="10"/>
      <c r="D13" s="10"/>
      <c r="E13" s="10"/>
      <c r="F13" s="10"/>
      <c r="G13" s="10"/>
      <c r="H13" s="28"/>
    </row>
    <row r="14" spans="1:8">
      <c r="A14" s="2" t="s">
        <v>51</v>
      </c>
      <c r="B14" s="10">
        <v>0.02</v>
      </c>
      <c r="C14" s="10"/>
      <c r="D14" s="10"/>
      <c r="E14" s="10"/>
      <c r="F14" s="10"/>
      <c r="G14" s="10"/>
      <c r="H14" s="28"/>
    </row>
    <row r="15" spans="1:8">
      <c r="A15" s="2" t="s">
        <v>52</v>
      </c>
      <c r="B15" s="10">
        <v>0.19</v>
      </c>
      <c r="C15" s="10"/>
      <c r="D15" s="10"/>
      <c r="E15" s="10"/>
      <c r="F15" s="10"/>
      <c r="G15" s="10"/>
      <c r="H15" s="28"/>
    </row>
    <row r="16" spans="1:8">
      <c r="A16" s="2" t="s">
        <v>26</v>
      </c>
      <c r="B16" s="10">
        <v>0.95</v>
      </c>
      <c r="C16" s="10"/>
      <c r="D16" s="10"/>
      <c r="E16" s="10"/>
      <c r="F16" s="10"/>
      <c r="G16" s="10"/>
      <c r="H16" s="28"/>
    </row>
    <row r="17" spans="1:8">
      <c r="A17" s="2" t="s">
        <v>27</v>
      </c>
      <c r="B17" s="10">
        <f>1-B16</f>
        <v>5.0000000000000044E-2</v>
      </c>
      <c r="C17" s="10"/>
      <c r="D17" s="10"/>
      <c r="E17" s="10"/>
      <c r="F17" s="10"/>
      <c r="G17" s="10"/>
      <c r="H17" s="28"/>
    </row>
    <row r="18" spans="1:8" ht="18" customHeight="1">
      <c r="A18" s="67" t="s">
        <v>53</v>
      </c>
      <c r="B18" s="68"/>
      <c r="C18" s="68"/>
      <c r="D18" s="68"/>
      <c r="E18" s="68"/>
      <c r="F18" s="68"/>
      <c r="G18" s="68"/>
      <c r="H18" s="69"/>
    </row>
    <row r="19" spans="1:8" ht="18" customHeight="1">
      <c r="A19" s="29" t="s">
        <v>2</v>
      </c>
      <c r="B19" s="30" t="s">
        <v>54</v>
      </c>
      <c r="C19" s="30" t="s">
        <v>55</v>
      </c>
      <c r="D19" s="30" t="s">
        <v>56</v>
      </c>
      <c r="E19" s="30" t="s">
        <v>57</v>
      </c>
      <c r="F19" s="30" t="s">
        <v>58</v>
      </c>
      <c r="G19" s="30" t="s">
        <v>59</v>
      </c>
      <c r="H19" s="31" t="s">
        <v>60</v>
      </c>
    </row>
    <row r="20" spans="1:8">
      <c r="A20" s="2" t="s">
        <v>61</v>
      </c>
      <c r="B20" s="33">
        <f>'Dane źródłowe'!B100</f>
        <v>200</v>
      </c>
      <c r="C20" s="33">
        <f>'Dane źródłowe'!C100</f>
        <v>300</v>
      </c>
      <c r="D20" s="33">
        <f>'Dane źródłowe'!D100</f>
        <v>330</v>
      </c>
      <c r="E20" s="33">
        <f>'Dane źródłowe'!E100</f>
        <v>420</v>
      </c>
      <c r="F20" s="33">
        <f>'Dane źródłowe'!F100</f>
        <v>400</v>
      </c>
      <c r="G20" s="33">
        <f>'Dane źródłowe'!G100</f>
        <v>41</v>
      </c>
      <c r="H20" s="28"/>
    </row>
    <row r="21" spans="1:8">
      <c r="A21" s="2" t="s">
        <v>36</v>
      </c>
      <c r="B21" s="14">
        <f>'Dane źródłowe'!B101</f>
        <v>1.4999999999999999E-2</v>
      </c>
      <c r="C21" s="14">
        <f>'Dane źródłowe'!C101</f>
        <v>1.9400000000000001E-2</v>
      </c>
      <c r="D21" s="14">
        <f>'Dane źródłowe'!D101</f>
        <v>6.0499999999999998E-2</v>
      </c>
      <c r="E21" s="14">
        <f>'Dane źródłowe'!E101</f>
        <v>5.8099999999999999E-2</v>
      </c>
      <c r="F21" s="14">
        <f>'Dane źródłowe'!F101</f>
        <v>5.5300000000000002E-2</v>
      </c>
      <c r="G21" s="14">
        <f>'Dane źródłowe'!G101</f>
        <v>5.5E-2</v>
      </c>
      <c r="H21" s="28"/>
    </row>
    <row r="22" spans="1:8">
      <c r="A22" s="2" t="s">
        <v>44</v>
      </c>
      <c r="B22" s="15">
        <f>'Dane źródłowe'!B97</f>
        <v>98040</v>
      </c>
      <c r="C22" s="15">
        <f>'Dane źródłowe'!C97</f>
        <v>98040</v>
      </c>
      <c r="D22" s="15">
        <f>'Dane źródłowe'!D97</f>
        <v>98040</v>
      </c>
      <c r="E22" s="15">
        <f>'Dane źródłowe'!E97</f>
        <v>98040</v>
      </c>
      <c r="F22" s="15">
        <f>'Dane źródłowe'!F97</f>
        <v>98040</v>
      </c>
      <c r="G22" s="15">
        <f>'Dane źródłowe'!G97</f>
        <v>980400</v>
      </c>
      <c r="H22" s="48" t="s">
        <v>62</v>
      </c>
    </row>
    <row r="23" spans="1:8">
      <c r="A23" s="2" t="s">
        <v>63</v>
      </c>
      <c r="B23" s="16">
        <f t="shared" ref="B23:G23" si="0">B20*B22</f>
        <v>19608000</v>
      </c>
      <c r="C23" s="16">
        <f t="shared" si="0"/>
        <v>29412000</v>
      </c>
      <c r="D23" s="16">
        <f t="shared" si="0"/>
        <v>32353200</v>
      </c>
      <c r="E23" s="16">
        <f t="shared" si="0"/>
        <v>41176800</v>
      </c>
      <c r="F23" s="16">
        <f t="shared" si="0"/>
        <v>39216000</v>
      </c>
      <c r="G23" s="16">
        <f t="shared" si="0"/>
        <v>40196400</v>
      </c>
      <c r="H23" s="28"/>
    </row>
    <row r="24" spans="1:8" ht="18" customHeight="1">
      <c r="A24" s="67" t="s">
        <v>64</v>
      </c>
      <c r="B24" s="68"/>
      <c r="C24" s="68"/>
      <c r="D24" s="68"/>
      <c r="E24" s="68"/>
      <c r="F24" s="68"/>
      <c r="G24" s="68"/>
      <c r="H24" s="69"/>
    </row>
    <row r="25" spans="1:8" ht="18" customHeight="1">
      <c r="A25" s="29" t="s">
        <v>2</v>
      </c>
      <c r="B25" s="30" t="s">
        <v>3</v>
      </c>
      <c r="C25" s="30" t="s">
        <v>19</v>
      </c>
      <c r="D25" s="30" t="s">
        <v>20</v>
      </c>
      <c r="E25" s="30" t="s">
        <v>21</v>
      </c>
      <c r="F25" s="30" t="s">
        <v>4</v>
      </c>
      <c r="G25" s="30"/>
      <c r="H25" s="31" t="s">
        <v>60</v>
      </c>
    </row>
    <row r="26" spans="1:8">
      <c r="A26" s="2" t="s">
        <v>22</v>
      </c>
      <c r="B26" s="10">
        <v>7.0000000000000007E-2</v>
      </c>
      <c r="C26" s="10">
        <v>5.8000000000000003E-2</v>
      </c>
      <c r="D26" s="10">
        <v>5.6000000000000001E-2</v>
      </c>
      <c r="E26" s="10">
        <v>5.3999999999999999E-2</v>
      </c>
      <c r="F26" s="10">
        <v>5.1999999999999998E-2</v>
      </c>
      <c r="G26" s="10"/>
      <c r="H26" s="28" t="s">
        <v>65</v>
      </c>
    </row>
    <row r="27" spans="1:8">
      <c r="A27" s="2" t="s">
        <v>23</v>
      </c>
      <c r="B27" s="10">
        <v>0.04</v>
      </c>
      <c r="C27" s="10">
        <v>3.5000000000000003E-2</v>
      </c>
      <c r="D27" s="10">
        <v>0.03</v>
      </c>
      <c r="E27" s="10">
        <v>2.75E-2</v>
      </c>
      <c r="F27" s="10">
        <v>2.5000000000000001E-2</v>
      </c>
      <c r="G27" s="10"/>
      <c r="H27" s="28"/>
    </row>
    <row r="28" spans="1:8">
      <c r="A28" s="2" t="s">
        <v>24</v>
      </c>
      <c r="B28" s="10">
        <v>0.23699999999999999</v>
      </c>
      <c r="C28" s="10">
        <v>0.23799999999999999</v>
      </c>
      <c r="D28" s="10">
        <v>0.23899999999999999</v>
      </c>
      <c r="E28" s="10">
        <v>0.24</v>
      </c>
      <c r="F28" s="10">
        <v>0.24</v>
      </c>
      <c r="G28" s="10"/>
      <c r="H28" s="28"/>
    </row>
    <row r="29" spans="1:8">
      <c r="A29" s="2" t="s">
        <v>66</v>
      </c>
      <c r="B29" s="10">
        <v>0.11</v>
      </c>
      <c r="C29" s="10">
        <v>0.1</v>
      </c>
      <c r="D29" s="10">
        <v>0.09</v>
      </c>
      <c r="E29" s="10">
        <v>0.08</v>
      </c>
      <c r="F29" s="10">
        <v>7.0000000000000007E-2</v>
      </c>
      <c r="G29" s="10"/>
      <c r="H29" s="28" t="s">
        <v>295</v>
      </c>
    </row>
    <row r="30" spans="1:8">
      <c r="A30" s="2" t="s">
        <v>67</v>
      </c>
      <c r="B30" s="10">
        <v>8.0000000000000004E-4</v>
      </c>
      <c r="C30" s="10">
        <v>8.0000000000000004E-4</v>
      </c>
      <c r="D30" s="10">
        <v>8.0000000000000004E-4</v>
      </c>
      <c r="E30" s="10">
        <v>8.0000000000000004E-4</v>
      </c>
      <c r="F30" s="10">
        <v>8.0000000000000004E-4</v>
      </c>
      <c r="G30" s="10"/>
      <c r="H30" s="28" t="s">
        <v>68</v>
      </c>
    </row>
    <row r="31" spans="1:8">
      <c r="A31" s="2" t="s">
        <v>69</v>
      </c>
      <c r="B31" s="10">
        <v>1.4999999999999999E-2</v>
      </c>
      <c r="C31" s="10">
        <v>1.6E-2</v>
      </c>
      <c r="D31" s="10">
        <v>1.7000000000000001E-2</v>
      </c>
      <c r="E31" s="10">
        <v>1.7999999999999999E-2</v>
      </c>
      <c r="F31" s="10">
        <v>1.9E-2</v>
      </c>
      <c r="G31" s="10"/>
      <c r="H31" s="28" t="s">
        <v>70</v>
      </c>
    </row>
    <row r="32" spans="1:8">
      <c r="A32" s="2" t="s">
        <v>25</v>
      </c>
      <c r="B32" s="10">
        <v>6.0999999999999999E-2</v>
      </c>
      <c r="C32" s="10">
        <v>5.8999999999999997E-2</v>
      </c>
      <c r="D32" s="10">
        <v>5.7000000000000002E-2</v>
      </c>
      <c r="E32" s="10">
        <v>5.5E-2</v>
      </c>
      <c r="F32" s="10">
        <v>5.2999999999999999E-2</v>
      </c>
      <c r="G32" s="10"/>
      <c r="H32" s="28"/>
    </row>
    <row r="33" spans="1:8">
      <c r="A33" s="2" t="s">
        <v>71</v>
      </c>
      <c r="B33" s="11">
        <v>50</v>
      </c>
      <c r="C33" s="11">
        <v>50</v>
      </c>
      <c r="D33" s="11">
        <v>49.5</v>
      </c>
      <c r="E33" s="11">
        <v>49</v>
      </c>
      <c r="F33" s="11">
        <v>48.5</v>
      </c>
      <c r="G33" s="9"/>
      <c r="H33" s="28"/>
    </row>
    <row r="34" spans="1:8">
      <c r="A34" s="2" t="s">
        <v>72</v>
      </c>
      <c r="B34" s="11">
        <v>4</v>
      </c>
      <c r="C34" s="11">
        <v>4</v>
      </c>
      <c r="D34" s="11">
        <v>4</v>
      </c>
      <c r="E34" s="11">
        <v>4</v>
      </c>
      <c r="F34" s="11">
        <v>4</v>
      </c>
      <c r="G34" s="9"/>
      <c r="H34" s="28"/>
    </row>
    <row r="35" spans="1:8">
      <c r="A35" s="2" t="s">
        <v>73</v>
      </c>
      <c r="B35" s="11">
        <v>74</v>
      </c>
      <c r="C35" s="11">
        <v>74</v>
      </c>
      <c r="D35" s="11">
        <v>73.5</v>
      </c>
      <c r="E35" s="11">
        <v>73</v>
      </c>
      <c r="F35" s="11">
        <v>72.5</v>
      </c>
      <c r="G35" s="9"/>
    </row>
    <row r="36" spans="1:8" ht="18" customHeight="1">
      <c r="A36" s="4" t="s">
        <v>74</v>
      </c>
      <c r="B36" s="5"/>
      <c r="C36" s="5"/>
      <c r="D36" s="5"/>
      <c r="E36" s="5"/>
      <c r="F36" s="5"/>
      <c r="G36" s="5"/>
      <c r="H36" s="5"/>
    </row>
    <row r="37" spans="1:8" ht="18" customHeight="1">
      <c r="A37" s="29" t="s">
        <v>2</v>
      </c>
      <c r="B37" s="30" t="s">
        <v>3</v>
      </c>
      <c r="C37" s="30" t="s">
        <v>19</v>
      </c>
      <c r="D37" s="30" t="s">
        <v>20</v>
      </c>
      <c r="E37" s="30" t="s">
        <v>21</v>
      </c>
      <c r="F37" s="30" t="s">
        <v>4</v>
      </c>
      <c r="G37" s="30"/>
      <c r="H37" s="30"/>
    </row>
    <row r="38" spans="1:8">
      <c r="A38" s="2" t="s">
        <v>75</v>
      </c>
      <c r="B38" s="10">
        <v>0.95</v>
      </c>
      <c r="C38" s="10">
        <v>0.95</v>
      </c>
      <c r="D38" s="10">
        <v>0.95</v>
      </c>
      <c r="E38" s="10">
        <v>0.95</v>
      </c>
      <c r="F38" s="10">
        <v>0.95</v>
      </c>
      <c r="G38" s="10"/>
      <c r="H38" s="10"/>
    </row>
    <row r="39" spans="1:8">
      <c r="A39" s="2" t="s">
        <v>76</v>
      </c>
      <c r="B39" s="10">
        <v>0.05</v>
      </c>
      <c r="C39" s="10">
        <v>0.05</v>
      </c>
      <c r="D39" s="10">
        <v>0.05</v>
      </c>
      <c r="E39" s="10">
        <v>0.05</v>
      </c>
      <c r="F39" s="10">
        <v>0.05</v>
      </c>
      <c r="G39" s="10"/>
      <c r="H39" s="10"/>
    </row>
    <row r="40" spans="1:8">
      <c r="A40" s="2" t="s">
        <v>77</v>
      </c>
      <c r="B40" s="10">
        <v>0.95</v>
      </c>
      <c r="C40" s="10">
        <v>0.95</v>
      </c>
      <c r="D40" s="10">
        <v>0.95</v>
      </c>
      <c r="E40" s="10">
        <v>0.95</v>
      </c>
      <c r="F40" s="10">
        <v>0.95</v>
      </c>
      <c r="G40" s="10"/>
      <c r="H40" s="10"/>
    </row>
    <row r="41" spans="1:8">
      <c r="A41" s="2" t="s">
        <v>78</v>
      </c>
      <c r="B41" s="10">
        <v>0.05</v>
      </c>
      <c r="C41" s="10">
        <v>0.05</v>
      </c>
      <c r="D41" s="10">
        <v>0.05</v>
      </c>
      <c r="E41" s="10">
        <v>0.05</v>
      </c>
      <c r="F41" s="10">
        <v>0.05</v>
      </c>
      <c r="G41" s="10"/>
      <c r="H41" s="10"/>
    </row>
    <row r="42" spans="1:8" ht="18" customHeight="1">
      <c r="A42" s="4" t="s">
        <v>79</v>
      </c>
      <c r="B42" s="5"/>
      <c r="C42" s="5"/>
      <c r="D42" s="5"/>
      <c r="E42" s="5"/>
      <c r="F42" s="5"/>
      <c r="G42" s="5"/>
      <c r="H42" s="5"/>
    </row>
    <row r="43" spans="1:8" ht="18" customHeight="1">
      <c r="A43" s="29" t="s">
        <v>2</v>
      </c>
      <c r="B43" s="30" t="s">
        <v>3</v>
      </c>
      <c r="C43" s="30" t="s">
        <v>19</v>
      </c>
      <c r="D43" s="30" t="s">
        <v>20</v>
      </c>
      <c r="E43" s="30" t="s">
        <v>21</v>
      </c>
      <c r="F43" s="30" t="s">
        <v>4</v>
      </c>
      <c r="G43" s="30"/>
      <c r="H43" s="30"/>
    </row>
    <row r="44" spans="1:8">
      <c r="A44" s="2" t="s">
        <v>80</v>
      </c>
      <c r="B44" s="11">
        <v>-10000</v>
      </c>
      <c r="C44" s="11">
        <v>-10000</v>
      </c>
      <c r="D44" s="11">
        <v>-10000</v>
      </c>
      <c r="E44" s="11">
        <v>-10000</v>
      </c>
      <c r="F44" s="11">
        <v>-10000</v>
      </c>
      <c r="G44" s="9"/>
    </row>
    <row r="45" spans="1:8">
      <c r="A45" s="2" t="s">
        <v>81</v>
      </c>
      <c r="B45" s="10">
        <v>0.33</v>
      </c>
      <c r="C45" s="10">
        <v>0.33</v>
      </c>
      <c r="D45" s="10">
        <v>0.33</v>
      </c>
      <c r="E45" s="10">
        <v>0.33</v>
      </c>
      <c r="F45" s="10">
        <v>0.33</v>
      </c>
      <c r="G45" s="10"/>
    </row>
    <row r="46" spans="1:8">
      <c r="A46" s="2" t="s">
        <v>82</v>
      </c>
      <c r="B46" s="11">
        <f>('Dane źródłowe'!G44-'Dane źródłowe'!F44)*(1+'Czynniki operacyjne'!H7)</f>
        <v>30006.63</v>
      </c>
      <c r="C46" s="11">
        <f>B46*(1+'Czynniki operacyjne'!I7)</f>
        <v>33007.293000000005</v>
      </c>
      <c r="D46" s="11">
        <f>C46*(1+'Czynniki operacyjne'!J7)</f>
        <v>35977.949370000009</v>
      </c>
      <c r="E46" s="11">
        <f>D46*(1+'Czynniki operacyjne'!K7)</f>
        <v>38856.185319600016</v>
      </c>
      <c r="F46" s="11">
        <f>E46*(1+'Czynniki operacyjne'!L7)</f>
        <v>41576.118291972016</v>
      </c>
      <c r="G46" s="9"/>
    </row>
    <row r="47" spans="1:8">
      <c r="A47" s="2" t="s">
        <v>83</v>
      </c>
      <c r="B47" s="10">
        <v>0.21</v>
      </c>
      <c r="C47" s="10">
        <v>0.21</v>
      </c>
      <c r="D47" s="10">
        <v>0.21</v>
      </c>
      <c r="E47" s="10">
        <v>0.21</v>
      </c>
      <c r="F47" s="10">
        <v>0.21</v>
      </c>
      <c r="G47" s="10"/>
    </row>
    <row r="48" spans="1:8">
      <c r="A48" s="2" t="s">
        <v>84</v>
      </c>
      <c r="B48" s="11">
        <v>-170000</v>
      </c>
      <c r="C48" s="11">
        <v>0</v>
      </c>
      <c r="D48" s="11">
        <v>0</v>
      </c>
      <c r="E48" s="11">
        <v>0</v>
      </c>
      <c r="F48" s="11">
        <v>0</v>
      </c>
      <c r="G48" s="9"/>
      <c r="H48" t="s">
        <v>294</v>
      </c>
    </row>
    <row r="49" spans="1:11">
      <c r="A49" s="2" t="s">
        <v>85</v>
      </c>
      <c r="B49" s="10">
        <v>0.25</v>
      </c>
      <c r="C49" s="10">
        <v>0.25</v>
      </c>
      <c r="D49" s="10">
        <v>0.25</v>
      </c>
      <c r="E49" s="10">
        <v>0.25</v>
      </c>
      <c r="F49" s="10">
        <v>0.25</v>
      </c>
      <c r="G49" s="10"/>
    </row>
    <row r="50" spans="1:11">
      <c r="A50" s="2" t="s">
        <v>86</v>
      </c>
      <c r="B50" s="10">
        <v>7.0000000000000007E-2</v>
      </c>
      <c r="C50" s="10">
        <v>7.0000000000000007E-2</v>
      </c>
      <c r="D50" s="10">
        <v>7.0000000000000007E-2</v>
      </c>
      <c r="E50" s="10">
        <v>7.0000000000000007E-2</v>
      </c>
      <c r="F50" s="10">
        <v>7.0000000000000007E-2</v>
      </c>
      <c r="G50" s="10"/>
    </row>
    <row r="51" spans="1:11">
      <c r="A51" s="2" t="s">
        <v>87</v>
      </c>
      <c r="B51" s="10">
        <v>1.0999999999999999E-2</v>
      </c>
      <c r="C51" s="10">
        <v>1.0999999999999999E-2</v>
      </c>
      <c r="D51" s="10">
        <v>1.0999999999999999E-2</v>
      </c>
      <c r="E51" s="10">
        <v>1.0999999999999999E-2</v>
      </c>
      <c r="F51" s="10">
        <v>1.0999999999999999E-2</v>
      </c>
      <c r="G51" s="10"/>
    </row>
    <row r="52" spans="1:11">
      <c r="A52" s="2" t="s">
        <v>88</v>
      </c>
      <c r="B52" s="10">
        <v>5.0000000000000001E-4</v>
      </c>
      <c r="C52" s="10">
        <v>5.0000000000000001E-4</v>
      </c>
      <c r="D52" s="10">
        <v>5.0000000000000001E-4</v>
      </c>
      <c r="E52" s="10">
        <v>5.0000000000000001E-4</v>
      </c>
      <c r="F52" s="10">
        <v>5.0000000000000001E-4</v>
      </c>
      <c r="G52" s="10"/>
    </row>
    <row r="53" spans="1:11">
      <c r="A53" s="2" t="s">
        <v>89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/>
      <c r="H53" s="16"/>
    </row>
    <row r="54" spans="1:11">
      <c r="A54" s="2" t="s">
        <v>90</v>
      </c>
      <c r="B54" s="32">
        <v>0</v>
      </c>
      <c r="C54" s="32">
        <v>0</v>
      </c>
      <c r="D54" s="32">
        <v>0</v>
      </c>
      <c r="E54" s="32">
        <v>0</v>
      </c>
      <c r="F54" s="32">
        <v>0</v>
      </c>
      <c r="G54" s="10"/>
      <c r="I54" s="16"/>
      <c r="J54" s="16"/>
      <c r="K54" s="16"/>
    </row>
    <row r="55" spans="1:11">
      <c r="A55" s="2" t="s">
        <v>91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/>
    </row>
    <row r="56" spans="1:11">
      <c r="A56" s="2" t="s">
        <v>92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/>
    </row>
  </sheetData>
  <mergeCells count="4">
    <mergeCell ref="A1:H1"/>
    <mergeCell ref="A2:H2"/>
    <mergeCell ref="A18:H18"/>
    <mergeCell ref="A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showGridLines="0" topLeftCell="A20" zoomScale="93" workbookViewId="0">
      <selection activeCell="B72" sqref="B72"/>
    </sheetView>
  </sheetViews>
  <sheetFormatPr defaultRowHeight="13.8"/>
  <cols>
    <col min="1" max="1" width="56" customWidth="1"/>
    <col min="2" max="7" width="13" customWidth="1"/>
  </cols>
  <sheetData>
    <row r="1" spans="1:7" ht="22.05" customHeight="1">
      <c r="A1" s="64" t="s">
        <v>93</v>
      </c>
      <c r="B1" s="65"/>
      <c r="C1" s="65"/>
      <c r="D1" s="65"/>
      <c r="E1" s="65"/>
      <c r="F1" s="65"/>
      <c r="G1" s="65"/>
    </row>
    <row r="2" spans="1:7" ht="30" customHeight="1">
      <c r="A2" s="70"/>
      <c r="B2" s="71"/>
      <c r="C2" s="71"/>
      <c r="D2" s="71"/>
      <c r="E2" s="71"/>
      <c r="F2" s="71"/>
      <c r="G2" s="71"/>
    </row>
    <row r="3" spans="1:7" ht="18" customHeight="1">
      <c r="A3" s="67" t="s">
        <v>94</v>
      </c>
      <c r="B3" s="68"/>
      <c r="C3" s="68"/>
      <c r="D3" s="68"/>
      <c r="E3" s="68"/>
      <c r="F3" s="68"/>
      <c r="G3" s="68"/>
    </row>
    <row r="4" spans="1:7" ht="18" customHeight="1">
      <c r="A4" s="6" t="s">
        <v>95</v>
      </c>
      <c r="B4" s="24">
        <v>2020</v>
      </c>
      <c r="C4" s="24">
        <v>2021</v>
      </c>
      <c r="D4" s="24">
        <v>2022</v>
      </c>
      <c r="E4" s="24">
        <v>2023</v>
      </c>
      <c r="F4" s="24">
        <v>2024</v>
      </c>
      <c r="G4" s="24">
        <v>2025</v>
      </c>
    </row>
    <row r="5" spans="1:7">
      <c r="A5" s="2" t="s">
        <v>30</v>
      </c>
      <c r="B5" s="11">
        <v>10125815</v>
      </c>
      <c r="C5" s="11">
        <v>13362012</v>
      </c>
      <c r="D5" s="11">
        <v>19801622</v>
      </c>
      <c r="E5" s="11">
        <v>25666255</v>
      </c>
      <c r="F5" s="11">
        <v>29273792</v>
      </c>
      <c r="G5" s="11">
        <v>33634155</v>
      </c>
    </row>
    <row r="6" spans="1:7">
      <c r="A6" s="2" t="s">
        <v>96</v>
      </c>
      <c r="B6" s="11">
        <v>-7521986</v>
      </c>
      <c r="C6" s="11">
        <v>-10038342</v>
      </c>
      <c r="D6" s="11">
        <v>-15038630</v>
      </c>
      <c r="E6" s="11">
        <v>-19741459</v>
      </c>
      <c r="F6" s="11">
        <v>-22463233</v>
      </c>
      <c r="G6" s="11">
        <v>-25723078</v>
      </c>
    </row>
    <row r="7" spans="1:7">
      <c r="A7" s="2" t="s">
        <v>97</v>
      </c>
      <c r="B7" s="11">
        <v>2603829</v>
      </c>
      <c r="C7" s="11">
        <v>3323670</v>
      </c>
      <c r="D7" s="11">
        <v>4762992</v>
      </c>
      <c r="E7" s="11">
        <v>5924796</v>
      </c>
      <c r="F7" s="11">
        <v>6810559</v>
      </c>
      <c r="G7" s="11">
        <v>7911077</v>
      </c>
    </row>
    <row r="8" spans="1:7">
      <c r="A8" s="2" t="s">
        <v>98</v>
      </c>
      <c r="B8" s="11">
        <v>7598</v>
      </c>
      <c r="C8" s="11">
        <v>14364</v>
      </c>
      <c r="D8" s="11">
        <v>16282</v>
      </c>
      <c r="E8" s="11">
        <v>13477</v>
      </c>
      <c r="F8" s="11">
        <v>24185</v>
      </c>
      <c r="G8" s="11">
        <v>29231</v>
      </c>
    </row>
    <row r="9" spans="1:7">
      <c r="A9" s="2" t="s">
        <v>99</v>
      </c>
      <c r="B9" s="11">
        <v>-1668084</v>
      </c>
      <c r="C9" s="11">
        <v>-2181963</v>
      </c>
      <c r="D9" s="11">
        <v>-3080061</v>
      </c>
      <c r="E9" s="11">
        <v>-3878421</v>
      </c>
      <c r="F9" s="11">
        <v>-4678717</v>
      </c>
      <c r="G9" s="11">
        <v>-5576262</v>
      </c>
    </row>
    <row r="10" spans="1:7">
      <c r="A10" s="2" t="s">
        <v>100</v>
      </c>
      <c r="B10" s="11">
        <v>-99783</v>
      </c>
      <c r="C10" s="11">
        <v>-117285</v>
      </c>
      <c r="D10" s="11">
        <v>-143217</v>
      </c>
      <c r="E10" s="11">
        <v>-173736</v>
      </c>
      <c r="F10" s="11">
        <v>-233653</v>
      </c>
      <c r="G10" s="11">
        <v>-302944</v>
      </c>
    </row>
    <row r="11" spans="1:7">
      <c r="A11" s="2" t="s">
        <v>101</v>
      </c>
      <c r="B11" s="11">
        <v>-5701</v>
      </c>
      <c r="C11" s="11">
        <v>-14793</v>
      </c>
      <c r="D11" s="11">
        <v>-18177</v>
      </c>
      <c r="E11" s="11">
        <v>-10261</v>
      </c>
      <c r="F11" s="11">
        <v>-14044</v>
      </c>
      <c r="G11" s="11">
        <v>-19820</v>
      </c>
    </row>
    <row r="12" spans="1:7">
      <c r="A12" s="2" t="s">
        <v>102</v>
      </c>
      <c r="B12" s="11">
        <v>837859</v>
      </c>
      <c r="C12" s="11">
        <v>1023993</v>
      </c>
      <c r="D12" s="11">
        <v>1537819</v>
      </c>
      <c r="E12" s="11">
        <v>1875855</v>
      </c>
      <c r="F12" s="11">
        <v>1908330</v>
      </c>
      <c r="G12" s="11">
        <v>2041282</v>
      </c>
    </row>
    <row r="13" spans="1:7">
      <c r="A13" s="2" t="s">
        <v>103</v>
      </c>
      <c r="B13" s="11">
        <v>3237</v>
      </c>
      <c r="C13" s="11">
        <v>1119</v>
      </c>
      <c r="D13" s="11">
        <v>5092</v>
      </c>
      <c r="E13" s="11">
        <v>10442</v>
      </c>
      <c r="F13" s="11">
        <v>6657</v>
      </c>
      <c r="G13" s="11">
        <v>8316</v>
      </c>
    </row>
    <row r="14" spans="1:7">
      <c r="A14" s="2" t="s">
        <v>104</v>
      </c>
      <c r="B14" s="11">
        <v>-52096</v>
      </c>
      <c r="C14" s="11">
        <v>-46703</v>
      </c>
      <c r="D14" s="11">
        <v>-141293</v>
      </c>
      <c r="E14" s="11">
        <v>-147316</v>
      </c>
      <c r="F14" s="11">
        <v>-121424</v>
      </c>
      <c r="G14" s="11">
        <v>-122945</v>
      </c>
    </row>
    <row r="15" spans="1:7">
      <c r="A15" s="2" t="s">
        <v>105</v>
      </c>
      <c r="B15" s="11">
        <v>789000</v>
      </c>
      <c r="C15" s="11">
        <v>978409</v>
      </c>
      <c r="D15" s="11">
        <v>1401618</v>
      </c>
      <c r="E15" s="11">
        <v>1738981</v>
      </c>
      <c r="F15" s="11">
        <v>1793563</v>
      </c>
      <c r="G15" s="11">
        <v>1926653</v>
      </c>
    </row>
    <row r="16" spans="1:7">
      <c r="A16" s="2" t="s">
        <v>106</v>
      </c>
      <c r="B16" s="11">
        <v>-145083</v>
      </c>
      <c r="C16" s="11">
        <v>-173106</v>
      </c>
      <c r="D16" s="11">
        <v>-269531</v>
      </c>
      <c r="E16" s="11">
        <v>-333654</v>
      </c>
      <c r="F16" s="11">
        <v>-287834</v>
      </c>
      <c r="G16" s="11">
        <v>-367856</v>
      </c>
    </row>
    <row r="17" spans="1:14">
      <c r="A17" s="2" t="s">
        <v>107</v>
      </c>
      <c r="B17" s="11">
        <v>643917</v>
      </c>
      <c r="C17" s="11">
        <v>805303</v>
      </c>
      <c r="D17" s="11">
        <v>1132087</v>
      </c>
      <c r="E17" s="11">
        <v>1405327</v>
      </c>
      <c r="F17" s="11">
        <v>1505729</v>
      </c>
      <c r="G17" s="11">
        <v>1558797</v>
      </c>
    </row>
    <row r="18" spans="1:14">
      <c r="A18" s="2" t="s">
        <v>108</v>
      </c>
      <c r="B18" s="11">
        <v>643917</v>
      </c>
      <c r="C18" s="11">
        <v>805303</v>
      </c>
      <c r="D18" s="11">
        <v>1132087</v>
      </c>
      <c r="E18" s="11">
        <v>1405327</v>
      </c>
      <c r="F18" s="11">
        <v>1504980</v>
      </c>
      <c r="G18" s="11">
        <v>1558360</v>
      </c>
    </row>
    <row r="19" spans="1:14">
      <c r="A19" s="2" t="s">
        <v>109</v>
      </c>
      <c r="B19" s="11">
        <v>0</v>
      </c>
      <c r="C19" s="11">
        <v>0</v>
      </c>
      <c r="D19" s="11">
        <v>0</v>
      </c>
      <c r="E19" s="11">
        <v>0</v>
      </c>
      <c r="F19" s="11">
        <v>749</v>
      </c>
      <c r="G19" s="11">
        <v>437</v>
      </c>
    </row>
    <row r="20" spans="1:14" ht="18" customHeight="1">
      <c r="A20" s="67" t="s">
        <v>110</v>
      </c>
      <c r="B20" s="68"/>
      <c r="C20" s="68"/>
      <c r="D20" s="68"/>
      <c r="E20" s="68"/>
      <c r="F20" s="68"/>
      <c r="G20" s="68"/>
    </row>
    <row r="21" spans="1:14" ht="18" customHeight="1">
      <c r="A21" s="6" t="s">
        <v>95</v>
      </c>
      <c r="B21" s="24">
        <v>2020</v>
      </c>
      <c r="C21" s="24">
        <v>2021</v>
      </c>
      <c r="D21" s="24">
        <v>2022</v>
      </c>
      <c r="E21" s="24">
        <v>2023</v>
      </c>
      <c r="F21" s="24">
        <v>2024</v>
      </c>
      <c r="G21" s="24">
        <v>2025</v>
      </c>
    </row>
    <row r="22" spans="1:14">
      <c r="A22" s="2" t="s">
        <v>111</v>
      </c>
      <c r="B22" s="11">
        <v>3749480</v>
      </c>
      <c r="C22" s="11">
        <v>4911353</v>
      </c>
      <c r="D22" s="11">
        <v>6070032</v>
      </c>
      <c r="E22" s="11">
        <v>6874672</v>
      </c>
      <c r="F22" s="11">
        <v>8230915</v>
      </c>
      <c r="G22" s="11">
        <v>9774681</v>
      </c>
      <c r="H22" s="47"/>
      <c r="I22" s="47"/>
      <c r="J22" s="47"/>
      <c r="K22" s="47"/>
      <c r="L22" s="47"/>
      <c r="M22" s="47"/>
      <c r="N22" s="47"/>
    </row>
    <row r="23" spans="1:14">
      <c r="A23" s="2" t="s">
        <v>112</v>
      </c>
      <c r="B23" s="11">
        <v>184538</v>
      </c>
      <c r="C23" s="11">
        <v>139931</v>
      </c>
      <c r="D23" s="11">
        <v>105116</v>
      </c>
      <c r="E23" s="11">
        <v>93499</v>
      </c>
      <c r="F23" s="11">
        <v>141350</v>
      </c>
      <c r="G23" s="11">
        <v>217006</v>
      </c>
    </row>
    <row r="24" spans="1:14">
      <c r="A24" s="2" t="s">
        <v>113</v>
      </c>
      <c r="B24" s="11">
        <v>99050</v>
      </c>
      <c r="C24" s="11">
        <v>96947</v>
      </c>
      <c r="D24" s="11">
        <v>94737</v>
      </c>
      <c r="E24" s="11">
        <v>115056</v>
      </c>
      <c r="F24" s="11">
        <v>169964</v>
      </c>
      <c r="G24" s="11">
        <v>176185</v>
      </c>
    </row>
    <row r="25" spans="1:14">
      <c r="A25" s="2" t="s">
        <v>114</v>
      </c>
      <c r="B25" s="11">
        <v>6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</row>
    <row r="26" spans="1:14">
      <c r="A26" s="2" t="s">
        <v>115</v>
      </c>
      <c r="B26" s="11">
        <v>20738</v>
      </c>
      <c r="C26" s="11">
        <v>35116</v>
      </c>
      <c r="D26" s="11">
        <v>26468</v>
      </c>
      <c r="E26" s="11">
        <v>41323</v>
      </c>
      <c r="F26" s="11">
        <v>74149</v>
      </c>
      <c r="G26" s="11">
        <v>31376</v>
      </c>
    </row>
    <row r="27" spans="1:14">
      <c r="A27" s="2" t="s">
        <v>116</v>
      </c>
      <c r="B27" s="11">
        <v>4053812</v>
      </c>
      <c r="C27" s="11">
        <v>5183347</v>
      </c>
      <c r="D27" s="11">
        <v>6296353</v>
      </c>
      <c r="E27" s="11">
        <v>7124550</v>
      </c>
      <c r="F27" s="11">
        <v>8616378</v>
      </c>
      <c r="G27" s="11">
        <v>10199248</v>
      </c>
    </row>
    <row r="28" spans="1:14">
      <c r="A28" s="2" t="s">
        <v>117</v>
      </c>
      <c r="B28" s="11">
        <v>875147</v>
      </c>
      <c r="C28" s="11">
        <v>1373463</v>
      </c>
      <c r="D28" s="11">
        <v>1978778</v>
      </c>
      <c r="E28" s="11">
        <v>2638859</v>
      </c>
      <c r="F28" s="11">
        <v>3081444</v>
      </c>
      <c r="G28" s="11">
        <v>3548100</v>
      </c>
    </row>
    <row r="29" spans="1:14">
      <c r="A29" s="2" t="s">
        <v>118</v>
      </c>
      <c r="B29" s="11">
        <v>86822</v>
      </c>
      <c r="C29" s="11">
        <v>144012</v>
      </c>
      <c r="D29" s="11">
        <v>274872</v>
      </c>
      <c r="E29" s="11">
        <v>330389</v>
      </c>
      <c r="F29" s="11">
        <v>376480</v>
      </c>
      <c r="G29" s="11">
        <v>372038</v>
      </c>
    </row>
    <row r="30" spans="1:14">
      <c r="A30" s="2" t="s">
        <v>119</v>
      </c>
      <c r="B30" s="11">
        <v>2</v>
      </c>
      <c r="C30" s="11">
        <v>55</v>
      </c>
      <c r="D30" s="11">
        <v>0</v>
      </c>
      <c r="E30" s="11">
        <v>103</v>
      </c>
      <c r="F30" s="11">
        <v>220</v>
      </c>
      <c r="G30" s="11">
        <v>18596</v>
      </c>
    </row>
    <row r="31" spans="1:14">
      <c r="A31" s="2" t="s">
        <v>120</v>
      </c>
      <c r="B31" s="11">
        <v>73367</v>
      </c>
      <c r="C31" s="11">
        <v>47712</v>
      </c>
      <c r="D31" s="11">
        <v>69096</v>
      </c>
      <c r="E31" s="11">
        <v>64049</v>
      </c>
      <c r="F31" s="11">
        <v>88186</v>
      </c>
      <c r="G31" s="11">
        <v>76477</v>
      </c>
    </row>
    <row r="32" spans="1:14">
      <c r="A32" s="2" t="s">
        <v>121</v>
      </c>
      <c r="B32" s="11">
        <v>942</v>
      </c>
      <c r="C32" s="11">
        <v>1327</v>
      </c>
      <c r="D32" s="11">
        <v>1242</v>
      </c>
      <c r="E32" s="11">
        <v>1376</v>
      </c>
      <c r="F32" s="11">
        <v>2064</v>
      </c>
      <c r="G32" s="11">
        <v>2007</v>
      </c>
    </row>
    <row r="33" spans="1:7">
      <c r="A33" s="2" t="s">
        <v>122</v>
      </c>
      <c r="B33" s="11">
        <v>480418</v>
      </c>
      <c r="C33" s="11">
        <v>418615</v>
      </c>
      <c r="D33" s="11">
        <v>382718</v>
      </c>
      <c r="E33" s="11">
        <v>218389</v>
      </c>
      <c r="F33" s="11">
        <v>891022</v>
      </c>
      <c r="G33" s="11">
        <v>954814</v>
      </c>
    </row>
    <row r="34" spans="1:7">
      <c r="A34" s="2" t="s">
        <v>123</v>
      </c>
      <c r="B34" s="11">
        <v>1516698</v>
      </c>
      <c r="C34" s="11">
        <v>1985184</v>
      </c>
      <c r="D34" s="11">
        <v>2706706</v>
      </c>
      <c r="E34" s="11">
        <v>3253165</v>
      </c>
      <c r="F34" s="11">
        <v>4439416</v>
      </c>
      <c r="G34" s="11">
        <v>4972032</v>
      </c>
    </row>
    <row r="35" spans="1:7">
      <c r="A35" s="2" t="s">
        <v>124</v>
      </c>
      <c r="B35" s="11">
        <v>5570510</v>
      </c>
      <c r="C35" s="11">
        <v>7168531</v>
      </c>
      <c r="D35" s="11">
        <v>9003059</v>
      </c>
      <c r="E35" s="11">
        <v>10377715</v>
      </c>
      <c r="F35" s="11">
        <v>13055794</v>
      </c>
      <c r="G35" s="11">
        <v>15171280</v>
      </c>
    </row>
    <row r="36" spans="1:7">
      <c r="A36" s="2" t="s">
        <v>125</v>
      </c>
      <c r="B36" s="11">
        <v>2266563</v>
      </c>
      <c r="C36" s="11">
        <v>3070190</v>
      </c>
      <c r="D36" s="11">
        <v>4203783</v>
      </c>
      <c r="E36" s="11">
        <v>5605311</v>
      </c>
      <c r="F36" s="11">
        <v>7085151</v>
      </c>
      <c r="G36" s="11">
        <v>8653393</v>
      </c>
    </row>
    <row r="37" spans="1:7">
      <c r="A37" s="2" t="s">
        <v>126</v>
      </c>
      <c r="B37" s="11">
        <v>9804</v>
      </c>
      <c r="C37" s="11">
        <v>9804</v>
      </c>
      <c r="D37" s="11">
        <v>9804</v>
      </c>
      <c r="E37" s="11">
        <v>9804</v>
      </c>
      <c r="F37" s="11">
        <v>9804</v>
      </c>
      <c r="G37" s="11">
        <v>9804</v>
      </c>
    </row>
    <row r="38" spans="1:7">
      <c r="A38" s="2" t="s">
        <v>127</v>
      </c>
      <c r="B38" s="11">
        <v>2063322</v>
      </c>
      <c r="C38" s="11">
        <v>2707720</v>
      </c>
      <c r="D38" s="11">
        <v>3512022</v>
      </c>
      <c r="E38" s="11">
        <v>4652148</v>
      </c>
      <c r="F38" s="11">
        <v>6058912</v>
      </c>
      <c r="G38" s="11">
        <v>7569927</v>
      </c>
    </row>
    <row r="39" spans="1:7">
      <c r="A39" s="2" t="s">
        <v>128</v>
      </c>
      <c r="B39" s="11">
        <v>185937</v>
      </c>
      <c r="C39" s="11">
        <v>345166</v>
      </c>
      <c r="D39" s="11">
        <v>674457</v>
      </c>
      <c r="E39" s="11">
        <v>935859</v>
      </c>
      <c r="F39" s="11">
        <v>1031871</v>
      </c>
      <c r="G39" s="11">
        <v>1077742</v>
      </c>
    </row>
    <row r="40" spans="1:7">
      <c r="A40" s="2" t="s">
        <v>129</v>
      </c>
      <c r="B40" s="11">
        <v>7500</v>
      </c>
      <c r="C40" s="11">
        <v>7500</v>
      </c>
      <c r="D40" s="11">
        <v>7500</v>
      </c>
      <c r="E40" s="11">
        <v>7500</v>
      </c>
      <c r="F40" s="11">
        <v>-15436</v>
      </c>
      <c r="G40" s="11">
        <v>-4080</v>
      </c>
    </row>
    <row r="41" spans="1:7">
      <c r="A41" s="2" t="s">
        <v>130</v>
      </c>
      <c r="B41" s="11">
        <v>0</v>
      </c>
      <c r="C41" s="11">
        <v>0</v>
      </c>
      <c r="D41" s="11">
        <v>0</v>
      </c>
      <c r="E41" s="11">
        <v>0</v>
      </c>
      <c r="F41" s="11">
        <v>17283</v>
      </c>
      <c r="G41" s="11">
        <v>17720</v>
      </c>
    </row>
    <row r="42" spans="1:7">
      <c r="A42" s="2" t="s">
        <v>131</v>
      </c>
      <c r="B42" s="11">
        <v>2266563</v>
      </c>
      <c r="C42" s="11">
        <v>3070190</v>
      </c>
      <c r="D42" s="11">
        <v>4203783</v>
      </c>
      <c r="E42" s="11">
        <v>5605311</v>
      </c>
      <c r="F42" s="11">
        <v>7102434</v>
      </c>
      <c r="G42" s="11">
        <v>8671113</v>
      </c>
    </row>
    <row r="43" spans="1:7">
      <c r="A43" s="2" t="s">
        <v>132</v>
      </c>
      <c r="B43" s="11">
        <v>725851</v>
      </c>
      <c r="C43" s="11">
        <v>583014</v>
      </c>
      <c r="D43" s="11">
        <v>690862</v>
      </c>
      <c r="E43" s="11">
        <v>469629</v>
      </c>
      <c r="F43" s="11">
        <v>272219</v>
      </c>
      <c r="G43" s="11">
        <v>312861</v>
      </c>
    </row>
    <row r="44" spans="1:7">
      <c r="A44" s="2" t="s">
        <v>133</v>
      </c>
      <c r="B44" s="11">
        <v>67876</v>
      </c>
      <c r="C44" s="11">
        <v>46621</v>
      </c>
      <c r="D44" s="11">
        <v>34673</v>
      </c>
      <c r="E44" s="11">
        <v>35612</v>
      </c>
      <c r="F44" s="11">
        <v>60818</v>
      </c>
      <c r="G44" s="11">
        <v>87851</v>
      </c>
    </row>
    <row r="45" spans="1:7">
      <c r="A45" s="2" t="s">
        <v>134</v>
      </c>
      <c r="B45" s="11">
        <v>419936</v>
      </c>
      <c r="C45" s="11">
        <v>450000</v>
      </c>
      <c r="D45" s="11">
        <v>370000</v>
      </c>
      <c r="E45" s="11">
        <v>370000</v>
      </c>
      <c r="F45" s="11">
        <v>170000</v>
      </c>
      <c r="G45" s="11">
        <v>0</v>
      </c>
    </row>
    <row r="46" spans="1:7">
      <c r="A46" s="2" t="s">
        <v>135</v>
      </c>
      <c r="B46" s="11">
        <v>0</v>
      </c>
      <c r="C46" s="11">
        <v>0</v>
      </c>
      <c r="D46" s="11">
        <v>0</v>
      </c>
      <c r="E46" s="11">
        <v>0</v>
      </c>
      <c r="F46" s="11">
        <v>22936</v>
      </c>
      <c r="G46" s="11">
        <v>11580</v>
      </c>
    </row>
    <row r="47" spans="1:7">
      <c r="A47" s="2" t="s">
        <v>136</v>
      </c>
      <c r="B47" s="11">
        <v>180</v>
      </c>
      <c r="C47" s="11">
        <v>150</v>
      </c>
      <c r="D47" s="11">
        <v>120</v>
      </c>
      <c r="E47" s="11">
        <v>90</v>
      </c>
      <c r="F47" s="11">
        <v>60</v>
      </c>
      <c r="G47" s="11">
        <v>30</v>
      </c>
    </row>
    <row r="48" spans="1:7">
      <c r="A48" s="2" t="s">
        <v>137</v>
      </c>
      <c r="B48" s="11">
        <v>2844</v>
      </c>
      <c r="C48" s="11">
        <v>4827</v>
      </c>
      <c r="D48" s="11">
        <v>5794</v>
      </c>
      <c r="E48" s="11">
        <v>10900</v>
      </c>
      <c r="F48" s="11">
        <v>14142</v>
      </c>
      <c r="G48" s="11">
        <v>18041</v>
      </c>
    </row>
    <row r="49" spans="1:8">
      <c r="A49" s="2" t="s">
        <v>138</v>
      </c>
      <c r="B49" s="11">
        <v>6555</v>
      </c>
      <c r="C49" s="11">
        <v>8187</v>
      </c>
      <c r="D49" s="11">
        <v>7700</v>
      </c>
      <c r="E49" s="11">
        <v>6880</v>
      </c>
      <c r="F49" s="11">
        <v>30336</v>
      </c>
      <c r="G49" s="11">
        <v>4609</v>
      </c>
    </row>
    <row r="50" spans="1:8">
      <c r="A50" s="2" t="s">
        <v>139</v>
      </c>
      <c r="B50" s="11">
        <v>14</v>
      </c>
      <c r="C50" s="11">
        <v>5</v>
      </c>
      <c r="D50" s="11">
        <v>0</v>
      </c>
      <c r="E50" s="11">
        <v>0</v>
      </c>
      <c r="F50" s="11">
        <v>0</v>
      </c>
      <c r="G50" s="11">
        <v>0</v>
      </c>
    </row>
    <row r="51" spans="1:8">
      <c r="A51" s="2" t="s">
        <v>140</v>
      </c>
      <c r="B51" s="11">
        <v>1223256</v>
      </c>
      <c r="C51" s="11">
        <v>1092804</v>
      </c>
      <c r="D51" s="11">
        <v>1109149</v>
      </c>
      <c r="E51" s="11">
        <v>893111</v>
      </c>
      <c r="F51" s="11">
        <v>570511</v>
      </c>
      <c r="G51" s="11">
        <v>434972</v>
      </c>
    </row>
    <row r="52" spans="1:8">
      <c r="A52" s="2" t="s">
        <v>141</v>
      </c>
      <c r="B52" s="11">
        <v>1695163</v>
      </c>
      <c r="C52" s="11">
        <v>2454051</v>
      </c>
      <c r="D52" s="11">
        <v>2651049</v>
      </c>
      <c r="E52" s="11">
        <v>3095968</v>
      </c>
      <c r="F52" s="11">
        <v>4362006</v>
      </c>
      <c r="G52" s="11">
        <v>5194539</v>
      </c>
    </row>
    <row r="53" spans="1:8">
      <c r="A53" s="2" t="s">
        <v>142</v>
      </c>
      <c r="B53" s="11">
        <v>216868</v>
      </c>
      <c r="C53" s="11">
        <v>196169</v>
      </c>
      <c r="D53" s="11">
        <v>410157</v>
      </c>
      <c r="E53" s="11">
        <v>278588</v>
      </c>
      <c r="F53" s="11">
        <v>361034</v>
      </c>
      <c r="G53" s="11">
        <v>159926</v>
      </c>
    </row>
    <row r="54" spans="1:8">
      <c r="A54" s="2" t="s">
        <v>143</v>
      </c>
      <c r="B54" s="11">
        <v>42249</v>
      </c>
      <c r="C54" s="11">
        <v>27721</v>
      </c>
      <c r="D54" s="11">
        <v>17893</v>
      </c>
      <c r="E54" s="11">
        <v>14565</v>
      </c>
      <c r="F54" s="11">
        <v>17900</v>
      </c>
      <c r="G54" s="11">
        <v>22812</v>
      </c>
    </row>
    <row r="55" spans="1:8">
      <c r="A55" s="2" t="s">
        <v>144</v>
      </c>
      <c r="B55" s="11">
        <v>930</v>
      </c>
      <c r="C55" s="11">
        <v>171642</v>
      </c>
      <c r="D55" s="11">
        <v>260947</v>
      </c>
      <c r="E55" s="11">
        <v>4784</v>
      </c>
      <c r="F55" s="11">
        <v>204845</v>
      </c>
      <c r="G55" s="11">
        <v>171882</v>
      </c>
    </row>
    <row r="56" spans="1:8">
      <c r="A56" s="2" t="s">
        <v>145</v>
      </c>
      <c r="B56" s="11">
        <v>1332</v>
      </c>
      <c r="C56" s="11">
        <v>1944</v>
      </c>
      <c r="D56" s="11">
        <v>229660</v>
      </c>
      <c r="E56" s="11">
        <v>307273</v>
      </c>
      <c r="F56" s="11">
        <v>382575</v>
      </c>
      <c r="G56" s="11">
        <v>464694</v>
      </c>
    </row>
    <row r="57" spans="1:8">
      <c r="A57" s="2" t="s">
        <v>146</v>
      </c>
      <c r="B57" s="11">
        <v>80509</v>
      </c>
      <c r="C57" s="11">
        <v>93017</v>
      </c>
      <c r="D57" s="11">
        <v>120034</v>
      </c>
      <c r="E57" s="11">
        <v>176736</v>
      </c>
      <c r="F57" s="11">
        <v>50612</v>
      </c>
      <c r="G57" s="11">
        <v>47605</v>
      </c>
    </row>
    <row r="58" spans="1:8">
      <c r="A58" s="2" t="s">
        <v>147</v>
      </c>
      <c r="B58" s="11">
        <v>43640</v>
      </c>
      <c r="C58" s="11">
        <v>60993</v>
      </c>
      <c r="D58" s="11">
        <v>387</v>
      </c>
      <c r="E58" s="11">
        <v>1379</v>
      </c>
      <c r="F58" s="11">
        <v>3877</v>
      </c>
      <c r="G58" s="11">
        <v>3737</v>
      </c>
    </row>
    <row r="59" spans="1:8">
      <c r="A59" s="2" t="s">
        <v>148</v>
      </c>
      <c r="B59" s="11">
        <v>2080691</v>
      </c>
      <c r="C59" s="11">
        <v>3005537</v>
      </c>
      <c r="D59" s="11">
        <v>3690127</v>
      </c>
      <c r="E59" s="11">
        <v>3879293</v>
      </c>
      <c r="F59" s="11">
        <v>5382849</v>
      </c>
      <c r="G59" s="11">
        <v>6065195</v>
      </c>
    </row>
    <row r="60" spans="1:8">
      <c r="A60" s="2" t="s">
        <v>149</v>
      </c>
      <c r="B60" s="11">
        <v>3303947</v>
      </c>
      <c r="C60" s="11">
        <v>4098341</v>
      </c>
      <c r="D60" s="11">
        <v>4799276</v>
      </c>
      <c r="E60" s="11">
        <v>4772404</v>
      </c>
      <c r="F60" s="11">
        <v>5953360</v>
      </c>
      <c r="G60" s="11">
        <v>6500167</v>
      </c>
    </row>
    <row r="61" spans="1:8">
      <c r="A61" s="2" t="s">
        <v>150</v>
      </c>
      <c r="B61" s="11">
        <v>5570510</v>
      </c>
      <c r="C61" s="11">
        <v>7168531</v>
      </c>
      <c r="D61" s="11">
        <v>9003059</v>
      </c>
      <c r="E61" s="11">
        <v>10377715</v>
      </c>
      <c r="F61" s="11">
        <v>13055794</v>
      </c>
      <c r="G61" s="11">
        <v>15171280</v>
      </c>
    </row>
    <row r="62" spans="1:8" ht="18" customHeight="1">
      <c r="A62" s="67" t="s">
        <v>151</v>
      </c>
      <c r="B62" s="68"/>
      <c r="C62" s="68"/>
      <c r="D62" s="68"/>
      <c r="E62" s="68"/>
      <c r="F62" s="68"/>
      <c r="G62" s="68"/>
    </row>
    <row r="63" spans="1:8" ht="18" customHeight="1">
      <c r="A63" s="6" t="s">
        <v>95</v>
      </c>
      <c r="B63" s="24">
        <v>2020</v>
      </c>
      <c r="C63" s="24">
        <v>2021</v>
      </c>
      <c r="D63" s="24">
        <v>2022</v>
      </c>
      <c r="E63" s="24">
        <v>2023</v>
      </c>
      <c r="F63" s="24">
        <v>2024</v>
      </c>
      <c r="G63" s="24">
        <v>2025</v>
      </c>
    </row>
    <row r="64" spans="1:8">
      <c r="A64" s="2" t="s">
        <v>152</v>
      </c>
      <c r="B64" s="11">
        <v>198146</v>
      </c>
      <c r="C64" s="11">
        <v>247343</v>
      </c>
      <c r="D64" s="11">
        <v>300129</v>
      </c>
      <c r="E64" s="11">
        <v>356828</v>
      </c>
      <c r="F64" s="11">
        <v>409179</v>
      </c>
      <c r="G64" s="11">
        <v>505031</v>
      </c>
      <c r="H64" s="46">
        <f>SUM(B64+B65-B66+B67-B68-B69+B70-B71)</f>
        <v>1654226</v>
      </c>
    </row>
    <row r="65" spans="1:7">
      <c r="A65" s="2" t="s">
        <v>105</v>
      </c>
      <c r="B65" s="11">
        <f>B15</f>
        <v>789000</v>
      </c>
      <c r="C65" s="11">
        <f t="shared" ref="C65:G65" si="0">C15</f>
        <v>978409</v>
      </c>
      <c r="D65" s="11">
        <f t="shared" si="0"/>
        <v>1401618</v>
      </c>
      <c r="E65" s="11">
        <f t="shared" si="0"/>
        <v>1738981</v>
      </c>
      <c r="F65" s="11">
        <f t="shared" si="0"/>
        <v>1793563</v>
      </c>
      <c r="G65" s="11">
        <f t="shared" si="0"/>
        <v>1926653</v>
      </c>
    </row>
    <row r="66" spans="1:7">
      <c r="A66" s="2" t="s">
        <v>156</v>
      </c>
      <c r="B66" s="11">
        <v>-138680</v>
      </c>
      <c r="C66" s="11">
        <v>-173004</v>
      </c>
      <c r="D66" s="11">
        <v>-234653</v>
      </c>
      <c r="E66" s="11">
        <v>-291839</v>
      </c>
      <c r="F66" s="11">
        <v>-417176</v>
      </c>
      <c r="G66" s="11">
        <v>-362312</v>
      </c>
    </row>
    <row r="67" spans="1:7">
      <c r="A67" s="2" t="s">
        <v>153</v>
      </c>
      <c r="B67" s="11">
        <v>52012</v>
      </c>
      <c r="C67" s="11">
        <v>46645</v>
      </c>
      <c r="D67" s="11">
        <v>141293</v>
      </c>
      <c r="E67" s="11">
        <v>147316</v>
      </c>
      <c r="F67" s="11">
        <v>121353</v>
      </c>
      <c r="G67" s="11">
        <v>122837</v>
      </c>
    </row>
    <row r="68" spans="1:7">
      <c r="A68" s="2" t="s">
        <v>297</v>
      </c>
      <c r="B68" s="11">
        <v>-43201</v>
      </c>
      <c r="C68" s="11">
        <v>-24880</v>
      </c>
      <c r="D68" s="11">
        <v>-152796</v>
      </c>
      <c r="E68" s="11">
        <v>-54245</v>
      </c>
      <c r="F68" s="11">
        <v>-55966</v>
      </c>
      <c r="G68" s="11">
        <v>14973</v>
      </c>
    </row>
    <row r="69" spans="1:7">
      <c r="A69" s="2" t="s">
        <v>154</v>
      </c>
      <c r="B69" s="11">
        <v>-251152</v>
      </c>
      <c r="C69" s="11">
        <v>-498316</v>
      </c>
      <c r="D69" s="11">
        <v>-605315</v>
      </c>
      <c r="E69" s="11">
        <v>-660081</v>
      </c>
      <c r="F69" s="11">
        <v>-424123</v>
      </c>
      <c r="G69" s="11">
        <v>-466656</v>
      </c>
    </row>
    <row r="70" spans="1:7">
      <c r="A70" s="2" t="s">
        <v>155</v>
      </c>
      <c r="B70" s="11">
        <v>197916</v>
      </c>
      <c r="C70" s="11">
        <v>728449</v>
      </c>
      <c r="D70" s="11">
        <v>366502</v>
      </c>
      <c r="E70" s="11">
        <v>537055</v>
      </c>
      <c r="F70" s="11">
        <v>1126352</v>
      </c>
      <c r="G70" s="11">
        <v>948166</v>
      </c>
    </row>
    <row r="71" spans="1:7">
      <c r="A71" s="2" t="s">
        <v>296</v>
      </c>
      <c r="B71" s="11">
        <f>B72-SUM(B64:B70)</f>
        <v>15881</v>
      </c>
      <c r="C71" s="11">
        <f t="shared" ref="C71:G71" si="1">C72-SUM(C64:C70)</f>
        <v>21685</v>
      </c>
      <c r="D71" s="11">
        <f t="shared" si="1"/>
        <v>36644</v>
      </c>
      <c r="E71" s="11">
        <f t="shared" si="1"/>
        <v>-2475</v>
      </c>
      <c r="F71" s="11">
        <f t="shared" si="1"/>
        <v>4271</v>
      </c>
      <c r="G71" s="11">
        <f t="shared" si="1"/>
        <v>8753</v>
      </c>
    </row>
    <row r="72" spans="1:7">
      <c r="A72" s="2" t="s">
        <v>157</v>
      </c>
      <c r="B72" s="11">
        <v>819922</v>
      </c>
      <c r="C72" s="11">
        <v>1326331</v>
      </c>
      <c r="D72" s="11">
        <v>1253422</v>
      </c>
      <c r="E72" s="11">
        <v>1771540</v>
      </c>
      <c r="F72" s="11">
        <v>2557453</v>
      </c>
      <c r="G72" s="11">
        <v>2697445</v>
      </c>
    </row>
    <row r="73" spans="1:7">
      <c r="A73" s="2" t="s">
        <v>158</v>
      </c>
      <c r="B73" s="11">
        <v>1403</v>
      </c>
      <c r="C73" s="11">
        <v>4263</v>
      </c>
      <c r="D73" s="11">
        <v>6287</v>
      </c>
      <c r="E73" s="11">
        <v>5735</v>
      </c>
      <c r="F73" s="11">
        <v>2430</v>
      </c>
      <c r="G73" s="11">
        <v>3980</v>
      </c>
    </row>
    <row r="74" spans="1:7">
      <c r="A74" s="2" t="s">
        <v>159</v>
      </c>
      <c r="B74" s="11">
        <v>-1002025</v>
      </c>
      <c r="C74" s="11">
        <v>-1335604</v>
      </c>
      <c r="D74" s="11">
        <v>-1445905</v>
      </c>
      <c r="E74" s="11">
        <v>-1172863</v>
      </c>
      <c r="F74" s="11">
        <v>-1561914</v>
      </c>
      <c r="G74" s="11">
        <v>-2087043</v>
      </c>
    </row>
    <row r="75" spans="1:7">
      <c r="A75" s="2" t="s">
        <v>160</v>
      </c>
      <c r="B75" s="11">
        <v>0</v>
      </c>
      <c r="C75" s="11">
        <v>0</v>
      </c>
      <c r="D75" s="11">
        <v>0</v>
      </c>
      <c r="E75" s="11">
        <v>0</v>
      </c>
      <c r="F75" s="11">
        <v>-42837</v>
      </c>
      <c r="G75" s="11">
        <v>0</v>
      </c>
    </row>
    <row r="76" spans="1:7">
      <c r="A76" s="2" t="s">
        <v>161</v>
      </c>
      <c r="B76" s="11">
        <v>1131</v>
      </c>
      <c r="C76" s="11">
        <v>998</v>
      </c>
      <c r="D76" s="11">
        <v>4969</v>
      </c>
      <c r="E76" s="11">
        <v>9006</v>
      </c>
      <c r="F76" s="11">
        <v>5972</v>
      </c>
      <c r="G76" s="11">
        <v>8081</v>
      </c>
    </row>
    <row r="77" spans="1:7">
      <c r="A77" s="2" t="s">
        <v>162</v>
      </c>
      <c r="B77" s="11">
        <v>825</v>
      </c>
      <c r="C77" s="11">
        <v>1415</v>
      </c>
      <c r="D77" s="11">
        <v>1710</v>
      </c>
      <c r="E77" s="11">
        <v>1831</v>
      </c>
      <c r="F77" s="11">
        <v>1859</v>
      </c>
      <c r="G77" s="11">
        <v>2466</v>
      </c>
    </row>
    <row r="78" spans="1:7">
      <c r="A78" s="2" t="s">
        <v>163</v>
      </c>
      <c r="B78" s="11">
        <v>-1470</v>
      </c>
      <c r="C78" s="11">
        <v>-1800</v>
      </c>
      <c r="D78" s="11">
        <v>-1624</v>
      </c>
      <c r="E78" s="11">
        <v>-1965</v>
      </c>
      <c r="F78" s="11">
        <v>-2419</v>
      </c>
      <c r="G78" s="11">
        <v>-2538</v>
      </c>
    </row>
    <row r="79" spans="1:7">
      <c r="A79" s="2" t="s">
        <v>164</v>
      </c>
      <c r="B79" s="11">
        <v>-1000136</v>
      </c>
      <c r="C79" s="11">
        <v>-1330728</v>
      </c>
      <c r="D79" s="11">
        <v>-1434563</v>
      </c>
      <c r="E79" s="11">
        <v>-1158256</v>
      </c>
      <c r="F79" s="11">
        <v>-1596909</v>
      </c>
      <c r="G79" s="11">
        <v>-2075054</v>
      </c>
    </row>
    <row r="80" spans="1:7">
      <c r="A80" s="2" t="s">
        <v>165</v>
      </c>
      <c r="B80" s="11">
        <v>-58335</v>
      </c>
      <c r="C80" s="11">
        <v>-47224</v>
      </c>
      <c r="D80" s="11">
        <v>-47531</v>
      </c>
      <c r="E80" s="11">
        <v>-25837</v>
      </c>
      <c r="F80" s="11">
        <v>-43861</v>
      </c>
      <c r="G80" s="11">
        <v>-72333</v>
      </c>
    </row>
    <row r="81" spans="1:7">
      <c r="A81" s="2" t="s">
        <v>166</v>
      </c>
      <c r="B81" s="11">
        <v>401369</v>
      </c>
      <c r="C81" s="11">
        <v>57636</v>
      </c>
      <c r="D81" s="11">
        <v>648366</v>
      </c>
      <c r="E81" s="11">
        <v>61378</v>
      </c>
      <c r="F81" s="11">
        <v>199961</v>
      </c>
      <c r="G81" s="11">
        <v>225124</v>
      </c>
    </row>
    <row r="82" spans="1:7">
      <c r="A82" s="2" t="s">
        <v>167</v>
      </c>
      <c r="B82" s="11">
        <v>-175110</v>
      </c>
      <c r="C82" s="11">
        <v>-221173</v>
      </c>
      <c r="D82" s="11">
        <v>-326529</v>
      </c>
      <c r="E82" s="11">
        <v>-414180</v>
      </c>
      <c r="F82" s="11">
        <v>-322719</v>
      </c>
      <c r="G82" s="11">
        <v>-385590</v>
      </c>
    </row>
    <row r="83" spans="1:7">
      <c r="A83" s="2" t="s">
        <v>168</v>
      </c>
      <c r="B83" s="11">
        <v>250000</v>
      </c>
      <c r="C83" s="11">
        <v>200000</v>
      </c>
      <c r="D83" s="11">
        <v>170000</v>
      </c>
      <c r="E83" s="11">
        <v>0</v>
      </c>
      <c r="F83" s="11">
        <v>0</v>
      </c>
      <c r="G83" s="11">
        <v>0</v>
      </c>
    </row>
    <row r="84" spans="1:7">
      <c r="A84" s="2" t="s">
        <v>169</v>
      </c>
      <c r="B84" s="11">
        <v>-100000</v>
      </c>
      <c r="C84" s="11">
        <v>0</v>
      </c>
      <c r="D84" s="11">
        <v>-170000</v>
      </c>
      <c r="E84" s="11">
        <v>-250000</v>
      </c>
      <c r="F84" s="11">
        <v>0</v>
      </c>
      <c r="G84" s="11">
        <v>-200000</v>
      </c>
    </row>
    <row r="85" spans="1:7">
      <c r="A85" s="2" t="s">
        <v>170</v>
      </c>
      <c r="B85" s="11">
        <v>-52012</v>
      </c>
      <c r="C85" s="11">
        <v>-46645</v>
      </c>
      <c r="D85" s="11">
        <v>-129062</v>
      </c>
      <c r="E85" s="11">
        <v>-148974</v>
      </c>
      <c r="F85" s="11">
        <v>-121292</v>
      </c>
      <c r="G85" s="11">
        <v>-125800</v>
      </c>
    </row>
    <row r="86" spans="1:7">
      <c r="A86" s="2" t="s">
        <v>171</v>
      </c>
      <c r="B86" s="11">
        <v>265912</v>
      </c>
      <c r="C86" s="11">
        <v>-57406</v>
      </c>
      <c r="D86" s="11">
        <v>145244</v>
      </c>
      <c r="E86" s="11">
        <v>-777613</v>
      </c>
      <c r="F86" s="11">
        <v>-287911</v>
      </c>
      <c r="G86" s="11">
        <v>-558599</v>
      </c>
    </row>
    <row r="87" spans="1:7">
      <c r="A87" s="2" t="s">
        <v>172</v>
      </c>
      <c r="B87" s="11">
        <v>85698</v>
      </c>
      <c r="C87" s="11">
        <v>-61803</v>
      </c>
      <c r="D87" s="11">
        <v>-35897</v>
      </c>
      <c r="E87" s="11">
        <v>-164329</v>
      </c>
      <c r="F87" s="11">
        <v>672633</v>
      </c>
      <c r="G87" s="11">
        <v>63792</v>
      </c>
    </row>
    <row r="88" spans="1:7">
      <c r="A88" s="2" t="s">
        <v>173</v>
      </c>
      <c r="B88" s="11">
        <v>394720</v>
      </c>
      <c r="C88" s="11">
        <v>480418</v>
      </c>
      <c r="D88" s="11">
        <v>418615</v>
      </c>
      <c r="E88" s="11">
        <v>382718</v>
      </c>
      <c r="F88" s="11">
        <v>218389</v>
      </c>
      <c r="G88" s="11">
        <v>891022</v>
      </c>
    </row>
    <row r="89" spans="1:7">
      <c r="A89" s="2" t="s">
        <v>174</v>
      </c>
      <c r="B89" s="11">
        <v>480418</v>
      </c>
      <c r="C89" s="11">
        <v>418615</v>
      </c>
      <c r="D89" s="11">
        <v>382718</v>
      </c>
      <c r="E89" s="11">
        <v>218389</v>
      </c>
      <c r="F89" s="11">
        <v>891022</v>
      </c>
      <c r="G89" s="11">
        <v>954814</v>
      </c>
    </row>
    <row r="90" spans="1:7" ht="18" customHeight="1">
      <c r="A90" s="67" t="s">
        <v>175</v>
      </c>
      <c r="B90" s="68"/>
      <c r="C90" s="68"/>
      <c r="D90" s="68"/>
      <c r="E90" s="68"/>
      <c r="F90" s="68"/>
      <c r="G90" s="68"/>
    </row>
    <row r="91" spans="1:7" ht="18" customHeight="1">
      <c r="A91" s="6" t="s">
        <v>95</v>
      </c>
      <c r="B91" s="24">
        <v>2020</v>
      </c>
      <c r="C91" s="24">
        <v>2021</v>
      </c>
      <c r="D91" s="24">
        <v>2022</v>
      </c>
      <c r="E91" s="24">
        <v>2023</v>
      </c>
      <c r="F91" s="24">
        <v>2024</v>
      </c>
      <c r="G91" s="24">
        <v>2025</v>
      </c>
    </row>
    <row r="92" spans="1:7">
      <c r="A92" s="2" t="s">
        <v>176</v>
      </c>
      <c r="B92" s="11">
        <v>1473</v>
      </c>
      <c r="C92" s="11">
        <v>1815</v>
      </c>
      <c r="D92" s="11">
        <v>2156</v>
      </c>
      <c r="E92" s="11">
        <v>2406</v>
      </c>
      <c r="F92" s="11">
        <v>2688</v>
      </c>
      <c r="G92" s="11">
        <v>3033</v>
      </c>
    </row>
    <row r="93" spans="1:7">
      <c r="A93" s="2" t="s">
        <v>177</v>
      </c>
      <c r="B93" s="9">
        <v>573</v>
      </c>
      <c r="C93" s="9">
        <v>710</v>
      </c>
      <c r="D93" s="9">
        <v>848</v>
      </c>
      <c r="E93" s="9">
        <v>948</v>
      </c>
      <c r="F93" s="9">
        <v>1061</v>
      </c>
      <c r="G93" s="9">
        <v>1200</v>
      </c>
    </row>
    <row r="94" spans="1:7">
      <c r="A94" s="2" t="s">
        <v>178</v>
      </c>
      <c r="B94" s="8">
        <f t="shared" ref="B94:G94" si="2">B93*1000/B92</f>
        <v>389.00203665987777</v>
      </c>
      <c r="C94" s="8">
        <f t="shared" si="2"/>
        <v>391.1845730027548</v>
      </c>
      <c r="D94" s="8">
        <f t="shared" si="2"/>
        <v>393.32096474953619</v>
      </c>
      <c r="E94" s="8">
        <f t="shared" si="2"/>
        <v>394.0149625935162</v>
      </c>
      <c r="F94" s="8">
        <f t="shared" si="2"/>
        <v>394.71726190476193</v>
      </c>
      <c r="G94" s="8">
        <f t="shared" si="2"/>
        <v>395.64787339268054</v>
      </c>
    </row>
    <row r="95" spans="1:7">
      <c r="A95" s="2" t="s">
        <v>179</v>
      </c>
      <c r="B95" s="10">
        <v>3.4000000000000002E-2</v>
      </c>
      <c r="C95" s="10">
        <v>5.0999999999999997E-2</v>
      </c>
      <c r="D95" s="10">
        <v>0.14399999999999999</v>
      </c>
      <c r="E95" s="10">
        <v>0.114</v>
      </c>
      <c r="F95" s="10">
        <v>3.5999999999999997E-2</v>
      </c>
      <c r="G95" s="10">
        <v>3.5999999999999997E-2</v>
      </c>
    </row>
    <row r="96" spans="1:7">
      <c r="A96" s="2" t="s">
        <v>180</v>
      </c>
      <c r="B96" s="10">
        <v>0.126</v>
      </c>
      <c r="C96" s="10">
        <v>0.124</v>
      </c>
      <c r="D96" s="10">
        <v>0.28499999999999998</v>
      </c>
      <c r="E96" s="10">
        <v>0.17199999999999999</v>
      </c>
      <c r="F96" s="10">
        <v>5.2999999999999999E-2</v>
      </c>
      <c r="G96" s="10">
        <v>4.3999999999999997E-2</v>
      </c>
    </row>
    <row r="97" spans="1:7">
      <c r="A97" s="2" t="s">
        <v>44</v>
      </c>
      <c r="B97" s="11">
        <v>98040</v>
      </c>
      <c r="C97" s="11">
        <v>98040</v>
      </c>
      <c r="D97" s="11">
        <v>98040</v>
      </c>
      <c r="E97" s="11">
        <v>98040</v>
      </c>
      <c r="F97" s="11">
        <v>98040</v>
      </c>
      <c r="G97" s="11">
        <v>980400</v>
      </c>
    </row>
    <row r="98" spans="1:7" ht="18" customHeight="1">
      <c r="A98" s="67" t="s">
        <v>181</v>
      </c>
      <c r="B98" s="68"/>
      <c r="C98" s="68"/>
      <c r="D98" s="68"/>
      <c r="E98" s="68"/>
      <c r="F98" s="68"/>
      <c r="G98" s="68"/>
    </row>
    <row r="99" spans="1:7" ht="18" customHeight="1">
      <c r="A99" s="6" t="s">
        <v>95</v>
      </c>
      <c r="B99" s="24">
        <v>2020</v>
      </c>
      <c r="C99" s="24">
        <v>2021</v>
      </c>
      <c r="D99" s="24">
        <v>2022</v>
      </c>
      <c r="E99" s="24">
        <v>2023</v>
      </c>
      <c r="F99" s="24">
        <v>2024</v>
      </c>
      <c r="G99" s="24">
        <v>2025</v>
      </c>
    </row>
    <row r="100" spans="1:7">
      <c r="A100" s="2" t="s">
        <v>61</v>
      </c>
      <c r="B100" s="9">
        <v>200</v>
      </c>
      <c r="C100" s="9">
        <v>300</v>
      </c>
      <c r="D100" s="9">
        <v>330</v>
      </c>
      <c r="E100" s="9">
        <v>420</v>
      </c>
      <c r="F100" s="9">
        <v>400</v>
      </c>
      <c r="G100" s="25">
        <v>41</v>
      </c>
    </row>
    <row r="101" spans="1:7">
      <c r="A101" s="2" t="s">
        <v>36</v>
      </c>
      <c r="B101" s="10">
        <v>1.4999999999999999E-2</v>
      </c>
      <c r="C101" s="10">
        <v>1.9400000000000001E-2</v>
      </c>
      <c r="D101" s="10">
        <v>6.0499999999999998E-2</v>
      </c>
      <c r="E101" s="10">
        <v>5.8099999999999999E-2</v>
      </c>
      <c r="F101" s="10">
        <v>5.5300000000000002E-2</v>
      </c>
      <c r="G101" s="10">
        <v>5.5E-2</v>
      </c>
    </row>
  </sheetData>
  <mergeCells count="7">
    <mergeCell ref="A90:G90"/>
    <mergeCell ref="A98:G98"/>
    <mergeCell ref="A1:G1"/>
    <mergeCell ref="A2:G2"/>
    <mergeCell ref="A3:G3"/>
    <mergeCell ref="A20:G20"/>
    <mergeCell ref="A62:G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topLeftCell="A2" zoomScale="81" workbookViewId="0">
      <selection activeCell="H7" sqref="H7"/>
    </sheetView>
  </sheetViews>
  <sheetFormatPr defaultRowHeight="13.8"/>
  <cols>
    <col min="1" max="1" width="36" customWidth="1"/>
    <col min="2" max="12" width="13" customWidth="1"/>
  </cols>
  <sheetData>
    <row r="1" spans="1:12" ht="22.05" customHeight="1">
      <c r="A1" s="64" t="s">
        <v>182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0" customHeight="1">
      <c r="A2" s="70" t="s">
        <v>183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7" t="s">
        <v>185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>
      <c r="A6" s="2" t="s">
        <v>176</v>
      </c>
      <c r="B6" s="15">
        <f>'Dane źródłowe'!B92</f>
        <v>1473</v>
      </c>
      <c r="C6" s="15">
        <f>'Dane źródłowe'!C92</f>
        <v>1815</v>
      </c>
      <c r="D6" s="15">
        <f>'Dane źródłowe'!D92</f>
        <v>2156</v>
      </c>
      <c r="E6" s="15">
        <f>'Dane źródłowe'!E92</f>
        <v>2406</v>
      </c>
      <c r="F6" s="15">
        <f>'Dane źródłowe'!F92</f>
        <v>2688</v>
      </c>
      <c r="G6" s="15">
        <f>'Dane źródłowe'!G92</f>
        <v>3033</v>
      </c>
      <c r="H6" s="16">
        <f>G6*(1+Założenia!B29)</f>
        <v>3366.63</v>
      </c>
      <c r="I6" s="16">
        <f>H6*(1+Założenia!C29)</f>
        <v>3703.2930000000006</v>
      </c>
      <c r="J6" s="16">
        <f>I6*(1+Założenia!D29)</f>
        <v>4036.5893700000011</v>
      </c>
      <c r="K6" s="16">
        <f>J6*(1+Założenia!E29)</f>
        <v>4359.5165196000016</v>
      </c>
      <c r="L6" s="16">
        <f>K6*(1+Założenia!F29)</f>
        <v>4664.6826759720016</v>
      </c>
    </row>
    <row r="7" spans="1:12">
      <c r="A7" s="2" t="s">
        <v>66</v>
      </c>
      <c r="B7" s="14"/>
      <c r="C7" s="14">
        <f>C6/B6-1</f>
        <v>0.23217922606924635</v>
      </c>
      <c r="D7" s="14">
        <f>D6/C6-1</f>
        <v>0.18787878787878798</v>
      </c>
      <c r="E7" s="14">
        <f>E6/D6-1</f>
        <v>0.11595547309833032</v>
      </c>
      <c r="F7" s="14">
        <f>F6/E6-1</f>
        <v>0.11720698254364081</v>
      </c>
      <c r="G7" s="14">
        <f>G6/F6-1</f>
        <v>0.12834821428571419</v>
      </c>
      <c r="H7" s="13">
        <f>Założenia!B29</f>
        <v>0.11</v>
      </c>
      <c r="I7" s="13">
        <f>Założenia!C29</f>
        <v>0.1</v>
      </c>
      <c r="J7" s="13">
        <f>Założenia!D29</f>
        <v>0.09</v>
      </c>
      <c r="K7" s="13">
        <f>Założenia!E29</f>
        <v>0.08</v>
      </c>
      <c r="L7" s="13">
        <f>Założenia!F29</f>
        <v>7.0000000000000007E-2</v>
      </c>
    </row>
    <row r="8" spans="1:12">
      <c r="A8" s="2" t="s">
        <v>177</v>
      </c>
      <c r="B8" s="15">
        <f>'Dane źródłowe'!B93</f>
        <v>573</v>
      </c>
      <c r="C8" s="15">
        <f>'Dane źródłowe'!C93</f>
        <v>710</v>
      </c>
      <c r="D8" s="15">
        <f>'Dane źródłowe'!D93</f>
        <v>848</v>
      </c>
      <c r="E8" s="15">
        <f>'Dane źródłowe'!E93</f>
        <v>948</v>
      </c>
      <c r="F8" s="15">
        <f>'Dane źródłowe'!F93</f>
        <v>1061</v>
      </c>
      <c r="G8" s="15">
        <f>'Dane źródłowe'!G93</f>
        <v>1200</v>
      </c>
      <c r="H8" s="16">
        <f>H6*H10/1000</f>
        <v>1335.3666300000002</v>
      </c>
      <c r="I8" s="16">
        <f>I6*I10/1000</f>
        <v>1472.6065860000003</v>
      </c>
      <c r="J8" s="16">
        <f>J6*J10/1000</f>
        <v>1609.1777681100004</v>
      </c>
      <c r="K8" s="16">
        <f>K6*K10/1000</f>
        <v>1742.2715060784008</v>
      </c>
      <c r="L8" s="16">
        <f>L6*L10/1000</f>
        <v>1868.8951941798607</v>
      </c>
    </row>
    <row r="9" spans="1:12">
      <c r="A9" s="2" t="s">
        <v>186</v>
      </c>
      <c r="B9" s="14"/>
      <c r="C9" s="14">
        <f t="shared" ref="C9:L9" si="0">C8/B8-1</f>
        <v>0.23909249563699819</v>
      </c>
      <c r="D9" s="14">
        <f t="shared" si="0"/>
        <v>0.19436619718309855</v>
      </c>
      <c r="E9" s="14">
        <f t="shared" si="0"/>
        <v>0.11792452830188682</v>
      </c>
      <c r="F9" s="14">
        <f t="shared" si="0"/>
        <v>0.11919831223628696</v>
      </c>
      <c r="G9" s="14">
        <f t="shared" si="0"/>
        <v>0.1310084825636193</v>
      </c>
      <c r="H9" s="13">
        <f t="shared" si="0"/>
        <v>0.11280552500000018</v>
      </c>
      <c r="I9" s="13">
        <f t="shared" si="0"/>
        <v>0.10277324063429694</v>
      </c>
      <c r="J9" s="13">
        <f t="shared" si="0"/>
        <v>9.2741118645248255E-2</v>
      </c>
      <c r="K9" s="13">
        <f t="shared" si="0"/>
        <v>8.2709157810898937E-2</v>
      </c>
      <c r="L9" s="13">
        <f t="shared" si="0"/>
        <v>7.2677356921523328E-2</v>
      </c>
    </row>
    <row r="10" spans="1:12">
      <c r="A10" s="2" t="s">
        <v>178</v>
      </c>
      <c r="B10" s="15">
        <f>'Dane źródłowe'!B94</f>
        <v>389.00203665987777</v>
      </c>
      <c r="C10" s="15">
        <f>'Dane źródłowe'!C94</f>
        <v>391.1845730027548</v>
      </c>
      <c r="D10" s="15">
        <f>'Dane źródłowe'!D94</f>
        <v>393.32096474953619</v>
      </c>
      <c r="E10" s="15">
        <f>'Dane źródłowe'!E94</f>
        <v>394.0149625935162</v>
      </c>
      <c r="F10" s="15">
        <f>'Dane źródłowe'!F94</f>
        <v>394.71726190476193</v>
      </c>
      <c r="G10" s="15">
        <f>'Dane źródłowe'!G94</f>
        <v>395.64787339268054</v>
      </c>
      <c r="H10" s="16">
        <f>G10+1</f>
        <v>396.64787339268054</v>
      </c>
      <c r="I10" s="16">
        <f t="shared" ref="I10:L10" si="1">H10+1</f>
        <v>397.64787339268054</v>
      </c>
      <c r="J10" s="16">
        <f t="shared" si="1"/>
        <v>398.64787339268054</v>
      </c>
      <c r="K10" s="16">
        <f t="shared" si="1"/>
        <v>399.64787339268054</v>
      </c>
      <c r="L10" s="16">
        <f t="shared" si="1"/>
        <v>400.64787339268054</v>
      </c>
    </row>
    <row r="11" spans="1:12">
      <c r="A11" s="2" t="s">
        <v>187</v>
      </c>
      <c r="B11" s="15">
        <f t="shared" ref="B11:G11" si="2">B13/B6</f>
        <v>6874.2803801765103</v>
      </c>
      <c r="C11" s="15">
        <f t="shared" si="2"/>
        <v>7361.9900826446283</v>
      </c>
      <c r="D11" s="15">
        <f t="shared" si="2"/>
        <v>9184.4257884972176</v>
      </c>
      <c r="E11" s="15">
        <f t="shared" si="2"/>
        <v>10667.603906899418</v>
      </c>
      <c r="F11" s="15">
        <f t="shared" si="2"/>
        <v>10890.547619047618</v>
      </c>
      <c r="G11" s="15">
        <f t="shared" si="2"/>
        <v>11089.401582591494</v>
      </c>
      <c r="H11" s="16">
        <f>G11*(1+Założenia!B26)</f>
        <v>11865.6596933729</v>
      </c>
      <c r="I11" s="16">
        <f>H11*(1+Założenia!C26)</f>
        <v>12553.867955588528</v>
      </c>
      <c r="J11" s="16">
        <f>I11*(1+Założenia!D26)</f>
        <v>13256.884561101486</v>
      </c>
      <c r="K11" s="16">
        <f>J11*(1+Założenia!E26)</f>
        <v>13972.756327400966</v>
      </c>
      <c r="L11" s="16">
        <f>K11*(1+Założenia!F26)</f>
        <v>14699.339656425816</v>
      </c>
    </row>
    <row r="12" spans="1:12">
      <c r="A12" s="2" t="s">
        <v>188</v>
      </c>
      <c r="B12" s="14"/>
      <c r="C12" s="14">
        <f t="shared" ref="C12:L12" si="3">C11/B11-1</f>
        <v>7.094701925084923E-2</v>
      </c>
      <c r="D12" s="14">
        <f t="shared" si="3"/>
        <v>0.24754661245046394</v>
      </c>
      <c r="E12" s="14">
        <f t="shared" si="3"/>
        <v>0.16148838833885137</v>
      </c>
      <c r="F12" s="14">
        <f t="shared" si="3"/>
        <v>2.089913668466914E-2</v>
      </c>
      <c r="G12" s="14">
        <f t="shared" si="3"/>
        <v>1.8259317207894865E-2</v>
      </c>
      <c r="H12" s="13">
        <f t="shared" si="3"/>
        <v>7.0000000000000062E-2</v>
      </c>
      <c r="I12" s="13">
        <f t="shared" si="3"/>
        <v>5.8000000000000052E-2</v>
      </c>
      <c r="J12" s="13">
        <f t="shared" si="3"/>
        <v>5.600000000000005E-2</v>
      </c>
      <c r="K12" s="13">
        <f t="shared" si="3"/>
        <v>5.4000000000000048E-2</v>
      </c>
      <c r="L12" s="13">
        <f t="shared" si="3"/>
        <v>5.2000000000000046E-2</v>
      </c>
    </row>
    <row r="13" spans="1:12">
      <c r="A13" s="2" t="s">
        <v>8</v>
      </c>
      <c r="B13" s="15">
        <f>'Dane źródłowe'!B5</f>
        <v>10125815</v>
      </c>
      <c r="C13" s="15">
        <f>'Dane źródłowe'!C5</f>
        <v>13362012</v>
      </c>
      <c r="D13" s="15">
        <f>'Dane źródłowe'!D5</f>
        <v>19801622</v>
      </c>
      <c r="E13" s="15">
        <f>'Dane źródłowe'!E5</f>
        <v>25666255</v>
      </c>
      <c r="F13" s="15">
        <f>'Dane źródłowe'!F5</f>
        <v>29273792</v>
      </c>
      <c r="G13" s="15">
        <f>'Dane źródłowe'!G5</f>
        <v>33634155</v>
      </c>
      <c r="H13" s="16">
        <f>H6*H11</f>
        <v>39947285.893500008</v>
      </c>
      <c r="I13" s="16">
        <f t="shared" ref="I13:L13" si="4">I6*I11</f>
        <v>46490651.322855316</v>
      </c>
      <c r="J13" s="16">
        <f t="shared" si="4"/>
        <v>53512599.298659384</v>
      </c>
      <c r="K13" s="16">
        <f t="shared" si="4"/>
        <v>60914462.033649959</v>
      </c>
      <c r="L13" s="16">
        <f t="shared" si="4"/>
        <v>68567755.043557733</v>
      </c>
    </row>
    <row r="14" spans="1:12">
      <c r="A14" s="2" t="s">
        <v>189</v>
      </c>
      <c r="B14" s="14"/>
      <c r="C14" s="14">
        <f t="shared" ref="C14:H14" si="5">C13/B13-1</f>
        <v>0.31959866934167769</v>
      </c>
      <c r="D14" s="14">
        <f t="shared" si="5"/>
        <v>0.48193415781994497</v>
      </c>
      <c r="E14" s="14">
        <f t="shared" si="5"/>
        <v>0.29616932390690009</v>
      </c>
      <c r="F14" s="14">
        <f t="shared" si="5"/>
        <v>0.14055564397688713</v>
      </c>
      <c r="G14" s="14">
        <f t="shared" si="5"/>
        <v>0.14895108225131892</v>
      </c>
      <c r="H14" s="13">
        <f t="shared" si="5"/>
        <v>0.1877000000000002</v>
      </c>
      <c r="I14" s="13">
        <f t="shared" ref="I14:L14" si="6">I13/H13-1</f>
        <v>0.16380000000000017</v>
      </c>
      <c r="J14" s="13">
        <f t="shared" si="6"/>
        <v>0.15104000000000006</v>
      </c>
      <c r="K14" s="13">
        <f t="shared" si="6"/>
        <v>0.13832000000000022</v>
      </c>
      <c r="L14" s="13">
        <f t="shared" si="6"/>
        <v>0.12563999999999997</v>
      </c>
    </row>
    <row r="15" spans="1:12">
      <c r="A15" s="2" t="s">
        <v>24</v>
      </c>
      <c r="B15" s="14">
        <f>'Dane źródłowe'!B7/B13</f>
        <v>0.25714759750202826</v>
      </c>
      <c r="C15" s="14">
        <f>'Dane źródłowe'!C7/C13</f>
        <v>0.24874023462933575</v>
      </c>
      <c r="D15" s="14">
        <f>'Dane źródłowe'!D7/D13</f>
        <v>0.24053544704570162</v>
      </c>
      <c r="E15" s="14">
        <f>'Dane źródłowe'!E7/E13</f>
        <v>0.23083991022453412</v>
      </c>
      <c r="F15" s="14">
        <f>'Dane źródłowe'!F7/F13</f>
        <v>0.23265038571019428</v>
      </c>
      <c r="G15" s="14">
        <f>'Dane źródłowe'!G7/G13</f>
        <v>0.23520962545364971</v>
      </c>
      <c r="H15" s="13">
        <f>Założenia!B28</f>
        <v>0.23699999999999999</v>
      </c>
      <c r="I15" s="13">
        <f>Założenia!C28</f>
        <v>0.23799999999999999</v>
      </c>
      <c r="J15" s="13">
        <f>Założenia!D28</f>
        <v>0.23899999999999999</v>
      </c>
      <c r="K15" s="13">
        <f>Założenia!E28</f>
        <v>0.24</v>
      </c>
      <c r="L15" s="13">
        <f>Założenia!F28</f>
        <v>0.24</v>
      </c>
    </row>
    <row r="16" spans="1:12">
      <c r="A16" s="2" t="s">
        <v>190</v>
      </c>
      <c r="B16" s="14">
        <f>'Model 3 sprawozdań'!B15/'Model 3 sprawozdań'!B6</f>
        <v>8.2744845723529414E-2</v>
      </c>
      <c r="C16" s="14">
        <f>'Model 3 sprawozdań'!C15/'Model 3 sprawozdań'!C6</f>
        <v>7.6634641549491206E-2</v>
      </c>
      <c r="D16" s="14">
        <f>'Model 3 sprawozdań'!D15/'Model 3 sprawozdań'!D6</f>
        <v>7.7661264314610193E-2</v>
      </c>
      <c r="E16" s="14">
        <f>'Model 3 sprawozdań'!E15/'Model 3 sprawozdań'!E6</f>
        <v>7.3086431970694601E-2</v>
      </c>
      <c r="F16" s="14">
        <f>'Model 3 sprawozdań'!F15/'Model 3 sprawozdań'!F6</f>
        <v>6.5189026416529849E-2</v>
      </c>
      <c r="G16" s="14">
        <f>'Model 3 sprawozdań'!G15/'Model 3 sprawozdań'!G6</f>
        <v>6.0690747247849695E-2</v>
      </c>
      <c r="H16" s="13">
        <f>'Model 3 sprawozdań'!H15/'Model 3 sprawozdań'!H6</f>
        <v>6.527696532339633E-2</v>
      </c>
      <c r="I16" s="13">
        <f>'Model 3 sprawozdań'!I15/'Model 3 sprawozdań'!I6</f>
        <v>6.6334072044090892E-2</v>
      </c>
      <c r="J16" s="13">
        <f>'Model 3 sprawozdań'!J15/'Model 3 sprawozdań'!J6</f>
        <v>6.7382327920496865E-2</v>
      </c>
      <c r="K16" s="13">
        <f>'Model 3 sprawozdań'!K15/'Model 3 sprawozdań'!K6</f>
        <v>6.842230511348131E-2</v>
      </c>
      <c r="L16" s="13">
        <f>'Model 3 sprawozdań'!L15/'Model 3 sprawozdań'!L6</f>
        <v>6.8455444700500606E-2</v>
      </c>
    </row>
    <row r="17" spans="1:12">
      <c r="A17" s="2" t="s">
        <v>13</v>
      </c>
      <c r="B17" s="14">
        <f>'Model 3 sprawozdań'!B18/'Model 3 sprawozdań'!B6</f>
        <v>6.3176445550308796E-2</v>
      </c>
      <c r="C17" s="14">
        <f>'Model 3 sprawozdań'!C18/'Model 3 sprawozdań'!C6</f>
        <v>5.8123731665560549E-2</v>
      </c>
      <c r="D17" s="14">
        <f>'Model 3 sprawozdań'!D18/'Model 3 sprawozdań'!D6</f>
        <v>6.2504475643459914E-2</v>
      </c>
      <c r="E17" s="14">
        <f>'Model 3 sprawozdań'!E18/'Model 3 sprawozdań'!E6</f>
        <v>5.918381937684325E-2</v>
      </c>
      <c r="F17" s="14">
        <f>'Model 3 sprawozdań'!F18/'Model 3 sprawozdań'!F6</f>
        <v>5.1211370224943868E-2</v>
      </c>
      <c r="G17" s="14">
        <f>'Model 3 sprawozdań'!G18/'Model 3 sprawozdań'!G6</f>
        <v>4.5675326167700661E-2</v>
      </c>
      <c r="H17" s="13">
        <f>'Model 3 sprawozdań'!H18/'Model 3 sprawozdań'!H6</f>
        <v>5.027696532339633E-2</v>
      </c>
      <c r="I17" s="13">
        <f>'Model 3 sprawozdań'!I18/'Model 3 sprawozdań'!I6</f>
        <v>5.0334072044090891E-2</v>
      </c>
      <c r="J17" s="13">
        <f>'Model 3 sprawozdań'!J18/'Model 3 sprawozdań'!J6</f>
        <v>5.0382327920496864E-2</v>
      </c>
      <c r="K17" s="13">
        <f>'Model 3 sprawozdań'!K18/'Model 3 sprawozdań'!K6</f>
        <v>5.0422305113481308E-2</v>
      </c>
      <c r="L17" s="13">
        <f>'Model 3 sprawozdań'!L18/'Model 3 sprawozdań'!L6</f>
        <v>4.9455444700500596E-2</v>
      </c>
    </row>
    <row r="18" spans="1:12">
      <c r="A18" s="2" t="s">
        <v>25</v>
      </c>
      <c r="B18" s="14">
        <f>-'Model 3 sprawozdań'!B35/'Model 3 sprawozdań'!B6</f>
        <v>9.8957466633549984E-2</v>
      </c>
      <c r="C18" s="14">
        <f>-'Model 3 sprawozdań'!C35/'Model 3 sprawozdań'!C6</f>
        <v>9.9955306132040594E-2</v>
      </c>
      <c r="D18" s="14">
        <f>-'Model 3 sprawozdań'!D35/'Model 3 sprawozdań'!D6</f>
        <v>7.3019523350157878E-2</v>
      </c>
      <c r="E18" s="14">
        <f>-'Model 3 sprawozdań'!E35/'Model 3 sprawozdań'!E6</f>
        <v>4.5696693966455176E-2</v>
      </c>
      <c r="F18" s="14">
        <f>-'Model 3 sprawozdań'!F35/'Model 3 sprawozdań'!F6</f>
        <v>5.3355369881701697E-2</v>
      </c>
      <c r="G18" s="14">
        <f>-'Model 3 sprawozdań'!G35/'Model 3 sprawozdań'!G6</f>
        <v>6.2051298746765009E-2</v>
      </c>
      <c r="H18" s="13">
        <f>-'Model 3 sprawozdań'!H35/'Model 3 sprawozdań'!H6</f>
        <v>6.0999999999999992E-2</v>
      </c>
      <c r="I18" s="13">
        <f>-'Model 3 sprawozdań'!I35/'Model 3 sprawozdań'!I6</f>
        <v>5.8999999999999997E-2</v>
      </c>
      <c r="J18" s="13">
        <f>-'Model 3 sprawozdań'!J35/'Model 3 sprawozdań'!J6</f>
        <v>5.7000000000000002E-2</v>
      </c>
      <c r="K18" s="13">
        <f>-'Model 3 sprawozdań'!K35/'Model 3 sprawozdań'!K6</f>
        <v>5.5E-2</v>
      </c>
      <c r="L18" s="13">
        <f>-'Model 3 sprawozdań'!L35/'Model 3 sprawozdań'!L6</f>
        <v>5.2999999999999999E-2</v>
      </c>
    </row>
    <row r="19" spans="1:12">
      <c r="A19" s="2" t="s">
        <v>191</v>
      </c>
      <c r="B19" s="14">
        <f>'Model 3 sprawozdań'!B90/'Model 3 sprawozdań'!B6</f>
        <v>-7.7554843733566137E-2</v>
      </c>
      <c r="C19" s="14">
        <f>'Model 3 sprawozdań'!C90/'Model 3 sprawozdań'!C6</f>
        <v>-7.8189048176277642E-2</v>
      </c>
      <c r="D19" s="14">
        <f>'Model 3 sprawozdań'!D90/'Model 3 sprawozdań'!D6</f>
        <v>-3.4259011711262846E-2</v>
      </c>
      <c r="E19" s="14">
        <f>'Model 3 sprawozdań'!E90/'Model 3 sprawozdań'!E6</f>
        <v>-2.134927748516486E-2</v>
      </c>
      <c r="F19" s="14">
        <f>'Model 3 sprawozdań'!F90/'Model 3 sprawozdań'!F6</f>
        <v>-4.2793909309733431E-2</v>
      </c>
      <c r="G19" s="14">
        <f>'Model 3 sprawozdań'!G90/'Model 3 sprawozdań'!G6</f>
        <v>-5.0406023281988205E-2</v>
      </c>
      <c r="H19" s="14">
        <f>'Model 3 sprawozdań'!H90/'Model 3 sprawozdań'!H6</f>
        <v>-5.1135431678655668E-2</v>
      </c>
      <c r="I19" s="14">
        <f>'Model 3 sprawozdań'!I90/'Model 3 sprawozdań'!I6</f>
        <v>-5.16909309674407E-2</v>
      </c>
      <c r="J19" s="14">
        <f>'Model 3 sprawozdań'!J90/'Model 3 sprawozdań'!J6</f>
        <v>-5.218082001347954E-2</v>
      </c>
      <c r="K19" s="14">
        <f>'Model 3 sprawozdań'!K90/'Model 3 sprawozdań'!K6</f>
        <v>-5.2633681645046143E-2</v>
      </c>
      <c r="L19" s="14">
        <f>'Model 3 sprawozdań'!L90/'Model 3 sprawozdań'!L6</f>
        <v>-5.3050139375311424E-2</v>
      </c>
    </row>
    <row r="24" spans="1:12">
      <c r="F24" s="62"/>
    </row>
  </sheetData>
  <mergeCells count="3">
    <mergeCell ref="A1:L1"/>
    <mergeCell ref="A2:L2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0"/>
  <sheetViews>
    <sheetView showGridLines="0" topLeftCell="A26" zoomScale="81" workbookViewId="0">
      <selection activeCell="B34" sqref="B34:G34"/>
    </sheetView>
  </sheetViews>
  <sheetFormatPr defaultRowHeight="13.8"/>
  <cols>
    <col min="1" max="1" width="42" customWidth="1"/>
    <col min="2" max="12" width="13" customWidth="1"/>
    <col min="14" max="14" width="11.296875" bestFit="1" customWidth="1"/>
  </cols>
  <sheetData>
    <row r="1" spans="1:19" ht="22.05" customHeight="1">
      <c r="A1" s="64" t="s">
        <v>192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9" ht="30" customHeight="1">
      <c r="A2" s="70" t="s">
        <v>193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9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9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9" ht="18" customHeight="1">
      <c r="A5" s="67" t="s">
        <v>194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9">
      <c r="A6" s="2" t="s">
        <v>30</v>
      </c>
      <c r="B6" s="15">
        <f>'Dane źródłowe'!B5</f>
        <v>10125815</v>
      </c>
      <c r="C6" s="15">
        <f>'Dane źródłowe'!C5</f>
        <v>13362012</v>
      </c>
      <c r="D6" s="15">
        <f>'Dane źródłowe'!D5</f>
        <v>19801622</v>
      </c>
      <c r="E6" s="15">
        <f>'Dane źródłowe'!E5</f>
        <v>25666255</v>
      </c>
      <c r="F6" s="15">
        <f>'Dane źródłowe'!F5</f>
        <v>29273792</v>
      </c>
      <c r="G6" s="15">
        <f>'Dane źródłowe'!G5</f>
        <v>33634155</v>
      </c>
      <c r="H6" s="16">
        <f>'Czynniki operacyjne'!H13</f>
        <v>39947285.893500008</v>
      </c>
      <c r="I6" s="16">
        <f>'Czynniki operacyjne'!I13</f>
        <v>46490651.322855316</v>
      </c>
      <c r="J6" s="16">
        <f>'Czynniki operacyjne'!J13</f>
        <v>53512599.298659384</v>
      </c>
      <c r="K6" s="16">
        <f>'Czynniki operacyjne'!K13</f>
        <v>60914462.033649959</v>
      </c>
      <c r="L6" s="16">
        <f>'Czynniki operacyjne'!L13</f>
        <v>68567755.043557733</v>
      </c>
    </row>
    <row r="7" spans="1:19">
      <c r="A7" s="2" t="s">
        <v>189</v>
      </c>
      <c r="B7" s="14"/>
      <c r="C7" s="14">
        <f t="shared" ref="C7:L7" si="0">C6/B6-1</f>
        <v>0.31959866934167769</v>
      </c>
      <c r="D7" s="14">
        <f t="shared" si="0"/>
        <v>0.48193415781994497</v>
      </c>
      <c r="E7" s="14">
        <f t="shared" si="0"/>
        <v>0.29616932390690009</v>
      </c>
      <c r="F7" s="14">
        <f t="shared" si="0"/>
        <v>0.14055564397688713</v>
      </c>
      <c r="G7" s="14">
        <f t="shared" si="0"/>
        <v>0.14895108225131892</v>
      </c>
      <c r="H7" s="13">
        <f t="shared" si="0"/>
        <v>0.1877000000000002</v>
      </c>
      <c r="I7" s="13">
        <f t="shared" si="0"/>
        <v>0.16380000000000017</v>
      </c>
      <c r="J7" s="13">
        <f t="shared" si="0"/>
        <v>0.15104000000000006</v>
      </c>
      <c r="K7" s="13">
        <f t="shared" si="0"/>
        <v>0.13832000000000022</v>
      </c>
      <c r="L7" s="13">
        <f t="shared" si="0"/>
        <v>0.12563999999999997</v>
      </c>
      <c r="N7" s="42"/>
      <c r="O7" s="42"/>
      <c r="P7" s="42"/>
      <c r="Q7" s="42"/>
      <c r="R7" s="42"/>
      <c r="S7" s="42"/>
    </row>
    <row r="8" spans="1:19">
      <c r="A8" s="2" t="s">
        <v>96</v>
      </c>
      <c r="B8" s="15">
        <f>'Dane źródłowe'!B6</f>
        <v>-7521986</v>
      </c>
      <c r="C8" s="15">
        <f>'Dane źródłowe'!C6</f>
        <v>-10038342</v>
      </c>
      <c r="D8" s="15">
        <f>'Dane źródłowe'!D6</f>
        <v>-15038630</v>
      </c>
      <c r="E8" s="15">
        <f>'Dane źródłowe'!E6</f>
        <v>-19741459</v>
      </c>
      <c r="F8" s="15">
        <f>'Dane źródłowe'!F6</f>
        <v>-22463233</v>
      </c>
      <c r="G8" s="15">
        <f>'Dane źródłowe'!G6</f>
        <v>-25723078</v>
      </c>
      <c r="H8" s="16">
        <f>-H6*(1-Założenia!B28)</f>
        <v>-30479779.136740506</v>
      </c>
      <c r="I8" s="16">
        <f>-I6*(1-Założenia!C28)</f>
        <v>-35425876.308015749</v>
      </c>
      <c r="J8" s="16">
        <f>-J6*(1-Założenia!D28)</f>
        <v>-40723088.066279791</v>
      </c>
      <c r="K8" s="16">
        <f>-K6*(1-Założenia!E28)</f>
        <v>-46294991.145573966</v>
      </c>
      <c r="L8" s="16">
        <f>-L6*(1-Założenia!F28)</f>
        <v>-52111493.83310388</v>
      </c>
    </row>
    <row r="9" spans="1:19">
      <c r="A9" s="17" t="s">
        <v>195</v>
      </c>
      <c r="B9" s="35">
        <f t="shared" ref="B9:L9" si="1">B6+B8</f>
        <v>2603829</v>
      </c>
      <c r="C9" s="35">
        <f t="shared" si="1"/>
        <v>3323670</v>
      </c>
      <c r="D9" s="35">
        <f t="shared" si="1"/>
        <v>4762992</v>
      </c>
      <c r="E9" s="35">
        <f t="shared" si="1"/>
        <v>5924796</v>
      </c>
      <c r="F9" s="35">
        <f t="shared" si="1"/>
        <v>6810559</v>
      </c>
      <c r="G9" s="35">
        <f t="shared" si="1"/>
        <v>7911077</v>
      </c>
      <c r="H9" s="36">
        <f t="shared" si="1"/>
        <v>9467506.756759502</v>
      </c>
      <c r="I9" s="36">
        <f t="shared" si="1"/>
        <v>11064775.014839567</v>
      </c>
      <c r="J9" s="36">
        <f t="shared" si="1"/>
        <v>12789511.232379593</v>
      </c>
      <c r="K9" s="36">
        <f t="shared" si="1"/>
        <v>14619470.888075992</v>
      </c>
      <c r="L9" s="36">
        <f t="shared" si="1"/>
        <v>16456261.210453853</v>
      </c>
    </row>
    <row r="10" spans="1:19">
      <c r="A10" s="2" t="s">
        <v>24</v>
      </c>
      <c r="B10" s="14">
        <f t="shared" ref="B10:L10" si="2">B9/B6</f>
        <v>0.25714759750202826</v>
      </c>
      <c r="C10" s="14">
        <f t="shared" si="2"/>
        <v>0.24874023462933575</v>
      </c>
      <c r="D10" s="14">
        <f t="shared" si="2"/>
        <v>0.24053544704570162</v>
      </c>
      <c r="E10" s="14">
        <f t="shared" si="2"/>
        <v>0.23083991022453412</v>
      </c>
      <c r="F10" s="14">
        <f t="shared" si="2"/>
        <v>0.23265038571019428</v>
      </c>
      <c r="G10" s="14">
        <f t="shared" si="2"/>
        <v>0.23520962545364971</v>
      </c>
      <c r="H10" s="13">
        <f t="shared" si="2"/>
        <v>0.23700000000000002</v>
      </c>
      <c r="I10" s="13">
        <f t="shared" si="2"/>
        <v>0.23800000000000004</v>
      </c>
      <c r="J10" s="13">
        <f t="shared" si="2"/>
        <v>0.23899999999999999</v>
      </c>
      <c r="K10" s="13">
        <f t="shared" si="2"/>
        <v>0.24000000000000005</v>
      </c>
      <c r="L10" s="13">
        <f t="shared" si="2"/>
        <v>0.23999999999999996</v>
      </c>
    </row>
    <row r="11" spans="1:19">
      <c r="A11" s="2" t="s">
        <v>98</v>
      </c>
      <c r="B11" s="15">
        <f>'Dane źródłowe'!B8</f>
        <v>7598</v>
      </c>
      <c r="C11" s="15">
        <f>'Dane źródłowe'!C8</f>
        <v>14364</v>
      </c>
      <c r="D11" s="15">
        <f>'Dane źródłowe'!D8</f>
        <v>16282</v>
      </c>
      <c r="E11" s="15">
        <f>'Dane źródłowe'!E8</f>
        <v>13477</v>
      </c>
      <c r="F11" s="15">
        <f>'Dane źródłowe'!F8</f>
        <v>24185</v>
      </c>
      <c r="G11" s="15">
        <f>'Dane źródłowe'!G8</f>
        <v>29231</v>
      </c>
      <c r="H11" s="16">
        <f>H6*Założenia!B30</f>
        <v>31957.828714800009</v>
      </c>
      <c r="I11" s="16">
        <f>I6*Założenia!C30</f>
        <v>37192.521058284256</v>
      </c>
      <c r="J11" s="16">
        <f>J6*Założenia!D30</f>
        <v>42810.079438927511</v>
      </c>
      <c r="K11" s="16">
        <f>K6*Założenia!E30</f>
        <v>48731.569626919969</v>
      </c>
      <c r="L11" s="16">
        <f>L6*Założenia!F30</f>
        <v>54854.204034846189</v>
      </c>
    </row>
    <row r="12" spans="1:19">
      <c r="A12" s="2" t="s">
        <v>196</v>
      </c>
      <c r="B12" s="15">
        <f>'Dane źródłowe'!B9</f>
        <v>-1668084</v>
      </c>
      <c r="C12" s="15">
        <f>'Dane źródłowe'!C9</f>
        <v>-2181963</v>
      </c>
      <c r="D12" s="15">
        <f>'Dane źródłowe'!D9</f>
        <v>-3080061</v>
      </c>
      <c r="E12" s="15">
        <f>'Dane źródłowe'!E9</f>
        <v>-3878421</v>
      </c>
      <c r="F12" s="15">
        <f>'Dane źródłowe'!F9</f>
        <v>-4678717</v>
      </c>
      <c r="G12" s="15">
        <f>'Dane źródłowe'!G9</f>
        <v>-5576262</v>
      </c>
      <c r="H12" s="16">
        <f>-H6*(16.5%-0.2%)</f>
        <v>-6511407.6006405018</v>
      </c>
      <c r="I12" s="16">
        <f t="shared" ref="I12:L12" si="3">-I6*(16.5%-0.2%)</f>
        <v>-7577976.1656254167</v>
      </c>
      <c r="J12" s="16">
        <f t="shared" si="3"/>
        <v>-8722553.6856814791</v>
      </c>
      <c r="K12" s="16">
        <f t="shared" si="3"/>
        <v>-9929057.3114849441</v>
      </c>
      <c r="L12" s="16">
        <f t="shared" si="3"/>
        <v>-11176544.072099911</v>
      </c>
    </row>
    <row r="13" spans="1:19">
      <c r="A13" s="2" t="s">
        <v>197</v>
      </c>
      <c r="B13" s="15">
        <f>'Dane źródłowe'!B10</f>
        <v>-99783</v>
      </c>
      <c r="C13" s="15">
        <f>'Dane źródłowe'!C10</f>
        <v>-117285</v>
      </c>
      <c r="D13" s="15">
        <f>'Dane źródłowe'!D10</f>
        <v>-143217</v>
      </c>
      <c r="E13" s="15">
        <f>'Dane źródłowe'!E10</f>
        <v>-173736</v>
      </c>
      <c r="F13" s="15">
        <f>'Dane źródłowe'!F10</f>
        <v>-233653</v>
      </c>
      <c r="G13" s="15">
        <f>'Dane źródłowe'!G10</f>
        <v>-302944</v>
      </c>
      <c r="H13" s="16">
        <f>G13*(1.005+H7-0.5%)</f>
        <v>-359806.58880000009</v>
      </c>
      <c r="I13" s="16">
        <f t="shared" ref="I13:L13" si="4">H13*(1.005+I7-0.5%)</f>
        <v>-418742.90804544016</v>
      </c>
      <c r="J13" s="16">
        <f t="shared" si="4"/>
        <v>-481989.83687662345</v>
      </c>
      <c r="K13" s="16">
        <f t="shared" si="4"/>
        <v>-548658.67111339816</v>
      </c>
      <c r="L13" s="16">
        <f t="shared" si="4"/>
        <v>-617592.14655208553</v>
      </c>
    </row>
    <row r="14" spans="1:19">
      <c r="A14" s="2" t="s">
        <v>101</v>
      </c>
      <c r="B14" s="15">
        <f>'Dane źródłowe'!B11</f>
        <v>-5701</v>
      </c>
      <c r="C14" s="15">
        <f>'Dane źródłowe'!C11</f>
        <v>-14793</v>
      </c>
      <c r="D14" s="15">
        <f>'Dane źródłowe'!D11</f>
        <v>-18177</v>
      </c>
      <c r="E14" s="15">
        <f>'Dane źródłowe'!E11</f>
        <v>-10261</v>
      </c>
      <c r="F14" s="15">
        <f>'Dane źródłowe'!F11</f>
        <v>-14044</v>
      </c>
      <c r="G14" s="15">
        <f>'Dane źródłowe'!G11</f>
        <v>-19820</v>
      </c>
      <c r="H14" s="16">
        <f>G14*(1+Założenia!B27)</f>
        <v>-20612.8</v>
      </c>
      <c r="I14" s="16">
        <f>H14*(1+Założenia!C27)</f>
        <v>-21334.247999999996</v>
      </c>
      <c r="J14" s="16">
        <f>I14*(1+Założenia!D27)</f>
        <v>-21974.275439999998</v>
      </c>
      <c r="K14" s="16">
        <f>J14*(1+Założenia!E27)</f>
        <v>-22578.568014599998</v>
      </c>
      <c r="L14" s="16">
        <f>K14*(1+Założenia!F27)</f>
        <v>-23143.032214964995</v>
      </c>
      <c r="N14" s="60"/>
      <c r="O14" s="60"/>
      <c r="P14" s="60"/>
      <c r="Q14" s="60"/>
      <c r="R14" s="60"/>
      <c r="S14" s="60"/>
    </row>
    <row r="15" spans="1:19">
      <c r="A15" s="17" t="s">
        <v>31</v>
      </c>
      <c r="B15" s="35">
        <f t="shared" ref="B15:L15" si="5">SUM(B6,B8,B11,B12,B13,B14)</f>
        <v>837859</v>
      </c>
      <c r="C15" s="35">
        <f t="shared" si="5"/>
        <v>1023993</v>
      </c>
      <c r="D15" s="35">
        <f t="shared" si="5"/>
        <v>1537819</v>
      </c>
      <c r="E15" s="35">
        <f t="shared" si="5"/>
        <v>1875855</v>
      </c>
      <c r="F15" s="35">
        <f t="shared" si="5"/>
        <v>1908330</v>
      </c>
      <c r="G15" s="35">
        <f t="shared" si="5"/>
        <v>2041282</v>
      </c>
      <c r="H15" s="36">
        <f t="shared" si="5"/>
        <v>2607637.5960337995</v>
      </c>
      <c r="I15" s="36">
        <f t="shared" si="5"/>
        <v>3083914.2142269942</v>
      </c>
      <c r="J15" s="36">
        <f t="shared" si="5"/>
        <v>3605803.5138204172</v>
      </c>
      <c r="K15" s="36">
        <f t="shared" si="5"/>
        <v>4167907.9070899705</v>
      </c>
      <c r="L15" s="36">
        <f t="shared" si="5"/>
        <v>4693836.1636217376</v>
      </c>
    </row>
    <row r="16" spans="1:19">
      <c r="A16" s="2" t="s">
        <v>190</v>
      </c>
      <c r="B16" s="14">
        <f t="shared" ref="B16:L16" si="6">B15/B6</f>
        <v>8.2744845723529414E-2</v>
      </c>
      <c r="C16" s="14">
        <f t="shared" si="6"/>
        <v>7.6634641549491206E-2</v>
      </c>
      <c r="D16" s="14">
        <f t="shared" si="6"/>
        <v>7.7661264314610193E-2</v>
      </c>
      <c r="E16" s="14">
        <f t="shared" si="6"/>
        <v>7.3086431970694601E-2</v>
      </c>
      <c r="F16" s="14">
        <f t="shared" si="6"/>
        <v>6.5189026416529849E-2</v>
      </c>
      <c r="G16" s="14">
        <f t="shared" si="6"/>
        <v>6.0690747247849695E-2</v>
      </c>
      <c r="H16" s="13">
        <f t="shared" si="6"/>
        <v>6.527696532339633E-2</v>
      </c>
      <c r="I16" s="13">
        <f t="shared" si="6"/>
        <v>6.6334072044090892E-2</v>
      </c>
      <c r="J16" s="13">
        <f t="shared" si="6"/>
        <v>6.7382327920496865E-2</v>
      </c>
      <c r="K16" s="13">
        <f t="shared" si="6"/>
        <v>6.842230511348131E-2</v>
      </c>
      <c r="L16" s="13">
        <f t="shared" si="6"/>
        <v>6.8455444700500606E-2</v>
      </c>
      <c r="N16" s="14"/>
      <c r="O16" s="14"/>
      <c r="P16" s="14"/>
      <c r="Q16" s="14"/>
      <c r="R16" s="14"/>
    </row>
    <row r="17" spans="1:20">
      <c r="A17" s="2" t="s">
        <v>198</v>
      </c>
      <c r="B17" s="15">
        <f>-'Dane źródłowe'!B64</f>
        <v>-198146</v>
      </c>
      <c r="C17" s="15">
        <f>-'Dane źródłowe'!C64</f>
        <v>-247343</v>
      </c>
      <c r="D17" s="15">
        <f>-'Dane źródłowe'!D64</f>
        <v>-300129</v>
      </c>
      <c r="E17" s="15">
        <f>-'Dane źródłowe'!E64</f>
        <v>-356828</v>
      </c>
      <c r="F17" s="15">
        <f>-'Dane źródłowe'!F64</f>
        <v>-409179</v>
      </c>
      <c r="G17" s="15">
        <f>-'Dane źródłowe'!G64</f>
        <v>-505031</v>
      </c>
      <c r="H17" s="16">
        <f>-H6*Założenia!B31</f>
        <v>-599209.2884025001</v>
      </c>
      <c r="I17" s="16">
        <f>-I6*Założenia!C31</f>
        <v>-743850.42116568505</v>
      </c>
      <c r="J17" s="16">
        <f>-J6*Założenia!D31</f>
        <v>-909714.18807720963</v>
      </c>
      <c r="K17" s="16">
        <f>-K6*Założenia!E31</f>
        <v>-1096460.3166056992</v>
      </c>
      <c r="L17" s="16">
        <f>-L6*Założenia!F31</f>
        <v>-1302787.345827597</v>
      </c>
    </row>
    <row r="18" spans="1:20">
      <c r="A18" s="17" t="s">
        <v>199</v>
      </c>
      <c r="B18" s="35">
        <f t="shared" ref="B18:L18" si="7">B15+B17</f>
        <v>639713</v>
      </c>
      <c r="C18" s="35">
        <f t="shared" si="7"/>
        <v>776650</v>
      </c>
      <c r="D18" s="35">
        <f t="shared" si="7"/>
        <v>1237690</v>
      </c>
      <c r="E18" s="35">
        <f t="shared" si="7"/>
        <v>1519027</v>
      </c>
      <c r="F18" s="35">
        <f t="shared" si="7"/>
        <v>1499151</v>
      </c>
      <c r="G18" s="35">
        <f t="shared" si="7"/>
        <v>1536251</v>
      </c>
      <c r="H18" s="36">
        <f t="shared" si="7"/>
        <v>2008428.3076312994</v>
      </c>
      <c r="I18" s="36">
        <f t="shared" si="7"/>
        <v>2340063.793061309</v>
      </c>
      <c r="J18" s="36">
        <f t="shared" si="7"/>
        <v>2696089.3257432077</v>
      </c>
      <c r="K18" s="36">
        <f t="shared" si="7"/>
        <v>3071447.5904842713</v>
      </c>
      <c r="L18" s="36">
        <f t="shared" si="7"/>
        <v>3391048.8177941404</v>
      </c>
    </row>
    <row r="19" spans="1:20">
      <c r="A19" s="2" t="s">
        <v>13</v>
      </c>
      <c r="B19" s="14">
        <f t="shared" ref="B19:L19" si="8">B18/B6</f>
        <v>6.3176445550308796E-2</v>
      </c>
      <c r="C19" s="14">
        <f t="shared" si="8"/>
        <v>5.8123731665560549E-2</v>
      </c>
      <c r="D19" s="14">
        <f t="shared" si="8"/>
        <v>6.2504475643459914E-2</v>
      </c>
      <c r="E19" s="14">
        <f t="shared" si="8"/>
        <v>5.918381937684325E-2</v>
      </c>
      <c r="F19" s="14">
        <f t="shared" si="8"/>
        <v>5.1211370224943868E-2</v>
      </c>
      <c r="G19" s="14">
        <f t="shared" si="8"/>
        <v>4.5675326167700661E-2</v>
      </c>
      <c r="H19" s="13">
        <f t="shared" si="8"/>
        <v>5.027696532339633E-2</v>
      </c>
      <c r="I19" s="13">
        <f t="shared" si="8"/>
        <v>5.0334072044090891E-2</v>
      </c>
      <c r="J19" s="13">
        <f t="shared" si="8"/>
        <v>5.0382327920496864E-2</v>
      </c>
      <c r="K19" s="13">
        <f t="shared" si="8"/>
        <v>5.0422305113481308E-2</v>
      </c>
      <c r="L19" s="13">
        <f t="shared" si="8"/>
        <v>4.9455444700500596E-2</v>
      </c>
      <c r="N19" s="61"/>
    </row>
    <row r="20" spans="1:20">
      <c r="A20" s="2" t="s">
        <v>103</v>
      </c>
      <c r="B20" s="15">
        <f>'Dane źródłowe'!B13</f>
        <v>3237</v>
      </c>
      <c r="C20" s="15">
        <f>'Dane źródłowe'!C13</f>
        <v>1119</v>
      </c>
      <c r="D20" s="15">
        <f>'Dane źródłowe'!D13</f>
        <v>5092</v>
      </c>
      <c r="E20" s="15">
        <f>'Dane źródłowe'!E13</f>
        <v>10442</v>
      </c>
      <c r="F20" s="15">
        <f>'Dane źródłowe'!F13</f>
        <v>6657</v>
      </c>
      <c r="G20" s="15">
        <f>'Dane źródłowe'!G13</f>
        <v>8316</v>
      </c>
      <c r="H20" s="16">
        <f>G44*Założenia!B14</f>
        <v>19096.28</v>
      </c>
      <c r="I20" s="16">
        <f>H44*Założenia!B14</f>
        <v>3546.4866295011457</v>
      </c>
      <c r="J20" s="16">
        <f>I44*Założenia!B14</f>
        <v>7400.7120159037331</v>
      </c>
      <c r="K20" s="16">
        <f>J44*Założenia!B14</f>
        <v>14683.683072538395</v>
      </c>
      <c r="L20" s="16">
        <f>K44*Założenia!B14</f>
        <v>26224.73448698111</v>
      </c>
      <c r="N20" s="47"/>
      <c r="O20" s="47"/>
      <c r="P20" s="47"/>
      <c r="Q20" s="47"/>
      <c r="R20" s="47"/>
      <c r="S20" s="47"/>
      <c r="T20" s="47"/>
    </row>
    <row r="21" spans="1:20">
      <c r="A21" s="2" t="s">
        <v>200</v>
      </c>
      <c r="B21" s="44">
        <v>-30379</v>
      </c>
      <c r="C21" s="44">
        <v>-26155</v>
      </c>
      <c r="D21" s="44">
        <v>-124832</v>
      </c>
      <c r="E21" s="44">
        <v>-127285</v>
      </c>
      <c r="F21" s="44">
        <v>-90957</v>
      </c>
      <c r="G21" s="44">
        <v>-67946</v>
      </c>
      <c r="H21" s="16">
        <f>-'Dług i WACC'!H20</f>
        <v>-47623.472050000004</v>
      </c>
      <c r="I21" s="16">
        <f>-'Dług i WACC'!I20</f>
        <v>-43178.959354999999</v>
      </c>
      <c r="J21" s="16">
        <f>-'Dług i WACC'!J20</f>
        <v>-44893.442837950002</v>
      </c>
      <c r="K21" s="16">
        <f>-'Dług i WACC'!K20</f>
        <v>-46812.637552086009</v>
      </c>
      <c r="L21" s="16">
        <f>-'Dług i WACC'!L20</f>
        <v>-48927.768178491024</v>
      </c>
    </row>
    <row r="22" spans="1:20">
      <c r="A22" s="2" t="s">
        <v>201</v>
      </c>
      <c r="B22" s="45">
        <v>-18139</v>
      </c>
      <c r="C22" s="45">
        <v>-20434</v>
      </c>
      <c r="D22" s="45">
        <v>-15839</v>
      </c>
      <c r="E22" s="45">
        <v>-19600</v>
      </c>
      <c r="F22" s="45">
        <v>-29836</v>
      </c>
      <c r="G22" s="45">
        <v>-54614</v>
      </c>
      <c r="H22" s="16">
        <f>-'Dług i WACC'!H18</f>
        <v>-57139.928999999996</v>
      </c>
      <c r="I22" s="16">
        <f>-'Dług i WACC'!I18</f>
        <v>-67865.093673300013</v>
      </c>
      <c r="J22" s="16">
        <f>-'Dług i WACC'!J18</f>
        <v>-78981.39601698656</v>
      </c>
      <c r="K22" s="16">
        <f>-'Dług i WACC'!K18</f>
        <v>-90910.746071392205</v>
      </c>
      <c r="L22" s="16">
        <f>-'Dług i WACC'!L18</f>
        <v>-103485.5204679872</v>
      </c>
    </row>
    <row r="23" spans="1:20">
      <c r="A23" s="2" t="s">
        <v>202</v>
      </c>
      <c r="B23" s="45">
        <v>-3494</v>
      </c>
      <c r="C23" s="45">
        <v>-56</v>
      </c>
      <c r="D23" s="45">
        <v>-622</v>
      </c>
      <c r="E23" s="45">
        <v>-431</v>
      </c>
      <c r="F23" s="45">
        <v>-560</v>
      </c>
      <c r="G23" s="45">
        <v>-277</v>
      </c>
      <c r="H23" s="16">
        <f>-'Dług i WACC'!H19</f>
        <v>0</v>
      </c>
      <c r="I23" s="16">
        <f>-'Dług i WACC'!I19</f>
        <v>0</v>
      </c>
      <c r="J23" s="16">
        <f>-'Dług i WACC'!J19</f>
        <v>0</v>
      </c>
      <c r="K23" s="16">
        <f>-'Dług i WACC'!K19</f>
        <v>0</v>
      </c>
      <c r="L23" s="16">
        <f>-'Dług i WACC'!L19</f>
        <v>0</v>
      </c>
      <c r="N23" s="63"/>
      <c r="O23" s="63"/>
      <c r="P23" s="63"/>
      <c r="Q23" s="63"/>
      <c r="R23" s="63"/>
      <c r="S23" s="63"/>
      <c r="T23" s="63"/>
    </row>
    <row r="24" spans="1:20">
      <c r="A24" s="2" t="s">
        <v>89</v>
      </c>
      <c r="B24" s="45">
        <v>-84</v>
      </c>
      <c r="C24" s="45">
        <v>-58</v>
      </c>
      <c r="D24" s="45">
        <v>0</v>
      </c>
      <c r="E24" s="45">
        <v>0</v>
      </c>
      <c r="F24" s="45">
        <v>-71</v>
      </c>
      <c r="G24" s="45">
        <v>-108</v>
      </c>
      <c r="H24" s="3">
        <f>-Założenia!B53</f>
        <v>0</v>
      </c>
      <c r="I24" s="3">
        <f>-Założenia!C53</f>
        <v>0</v>
      </c>
      <c r="J24" s="3">
        <f>-Założenia!D53</f>
        <v>0</v>
      </c>
      <c r="K24" s="3">
        <f>-Założenia!E53</f>
        <v>0</v>
      </c>
      <c r="L24" s="3">
        <f>-Założenia!F53</f>
        <v>0</v>
      </c>
    </row>
    <row r="25" spans="1:20">
      <c r="A25" s="17" t="s">
        <v>203</v>
      </c>
      <c r="B25" s="35">
        <f t="shared" ref="B25:L25" si="9">SUM(B21:B24)</f>
        <v>-52096</v>
      </c>
      <c r="C25" s="35">
        <f t="shared" si="9"/>
        <v>-46703</v>
      </c>
      <c r="D25" s="35">
        <f t="shared" si="9"/>
        <v>-141293</v>
      </c>
      <c r="E25" s="35">
        <f t="shared" si="9"/>
        <v>-147316</v>
      </c>
      <c r="F25" s="35">
        <f t="shared" si="9"/>
        <v>-121424</v>
      </c>
      <c r="G25" s="35">
        <f t="shared" si="9"/>
        <v>-122945</v>
      </c>
      <c r="H25" s="36">
        <f t="shared" si="9"/>
        <v>-104763.40105</v>
      </c>
      <c r="I25" s="36">
        <f t="shared" si="9"/>
        <v>-111044.05302830001</v>
      </c>
      <c r="J25" s="36">
        <f t="shared" si="9"/>
        <v>-123874.83885493656</v>
      </c>
      <c r="K25" s="36">
        <f t="shared" si="9"/>
        <v>-137723.38362347821</v>
      </c>
      <c r="L25" s="36">
        <f t="shared" si="9"/>
        <v>-152413.28864647821</v>
      </c>
    </row>
    <row r="26" spans="1:20">
      <c r="A26" s="17" t="s">
        <v>105</v>
      </c>
      <c r="B26" s="35">
        <f t="shared" ref="B26:L26" si="10">B18+B20+B25</f>
        <v>590854</v>
      </c>
      <c r="C26" s="35">
        <f t="shared" si="10"/>
        <v>731066</v>
      </c>
      <c r="D26" s="35">
        <f t="shared" si="10"/>
        <v>1101489</v>
      </c>
      <c r="E26" s="35">
        <f t="shared" si="10"/>
        <v>1382153</v>
      </c>
      <c r="F26" s="35">
        <f t="shared" si="10"/>
        <v>1384384</v>
      </c>
      <c r="G26" s="35">
        <f t="shared" si="10"/>
        <v>1421622</v>
      </c>
      <c r="H26" s="36">
        <f t="shared" si="10"/>
        <v>1922761.1865812994</v>
      </c>
      <c r="I26" s="36">
        <f t="shared" si="10"/>
        <v>2232566.2266625101</v>
      </c>
      <c r="J26" s="36">
        <f t="shared" si="10"/>
        <v>2579615.1989041748</v>
      </c>
      <c r="K26" s="36">
        <f t="shared" si="10"/>
        <v>2948407.8899333319</v>
      </c>
      <c r="L26" s="36">
        <f t="shared" si="10"/>
        <v>3264860.2636346435</v>
      </c>
    </row>
    <row r="27" spans="1:20">
      <c r="A27" s="2" t="s">
        <v>106</v>
      </c>
      <c r="B27" s="15">
        <f>'Dane źródłowe'!B16</f>
        <v>-145083</v>
      </c>
      <c r="C27" s="15">
        <f>'Dane źródłowe'!C16</f>
        <v>-173106</v>
      </c>
      <c r="D27" s="15">
        <f>'Dane źródłowe'!D16</f>
        <v>-269531</v>
      </c>
      <c r="E27" s="15">
        <f>'Dane źródłowe'!E16</f>
        <v>-333654</v>
      </c>
      <c r="F27" s="15">
        <f>'Dane źródłowe'!F16</f>
        <v>-287834</v>
      </c>
      <c r="G27" s="15">
        <f>'Dane źródłowe'!G16</f>
        <v>-367856</v>
      </c>
      <c r="H27" s="16">
        <f>-H26*Założenia!B15</f>
        <v>-365324.62545044691</v>
      </c>
      <c r="I27" s="16">
        <f>-I26*Założenia!B15</f>
        <v>-424187.58306587691</v>
      </c>
      <c r="J27" s="16">
        <f>-J26*Założenia!B15</f>
        <v>-490126.88779179321</v>
      </c>
      <c r="K27" s="16">
        <f>-K26*Założenia!B15</f>
        <v>-560197.4990873331</v>
      </c>
      <c r="L27" s="16">
        <f>-L26*Założenia!B15</f>
        <v>-620323.45009058225</v>
      </c>
    </row>
    <row r="28" spans="1:20">
      <c r="A28" s="17" t="s">
        <v>204</v>
      </c>
      <c r="B28" s="35">
        <f t="shared" ref="B28:L28" si="11">B26+B27</f>
        <v>445771</v>
      </c>
      <c r="C28" s="35">
        <f t="shared" si="11"/>
        <v>557960</v>
      </c>
      <c r="D28" s="35">
        <f t="shared" si="11"/>
        <v>831958</v>
      </c>
      <c r="E28" s="35">
        <f t="shared" si="11"/>
        <v>1048499</v>
      </c>
      <c r="F28" s="35">
        <f t="shared" si="11"/>
        <v>1096550</v>
      </c>
      <c r="G28" s="35">
        <f t="shared" si="11"/>
        <v>1053766</v>
      </c>
      <c r="H28" s="36">
        <f t="shared" si="11"/>
        <v>1557436.5611308524</v>
      </c>
      <c r="I28" s="36">
        <f t="shared" si="11"/>
        <v>1808378.6435966331</v>
      </c>
      <c r="J28" s="36">
        <f t="shared" si="11"/>
        <v>2089488.3111123815</v>
      </c>
      <c r="K28" s="36">
        <f t="shared" si="11"/>
        <v>2388210.3908459987</v>
      </c>
      <c r="L28" s="36">
        <f t="shared" si="11"/>
        <v>2644536.813544061</v>
      </c>
      <c r="N28" s="59"/>
    </row>
    <row r="29" spans="1:20">
      <c r="A29" s="2" t="s">
        <v>205</v>
      </c>
      <c r="B29" s="14">
        <f t="shared" ref="B29:L29" si="12">B28/B6</f>
        <v>4.4023221834489375E-2</v>
      </c>
      <c r="C29" s="14">
        <f t="shared" si="12"/>
        <v>4.1757184471919347E-2</v>
      </c>
      <c r="D29" s="14">
        <f t="shared" si="12"/>
        <v>4.2014639002804922E-2</v>
      </c>
      <c r="E29" s="14">
        <f t="shared" si="12"/>
        <v>4.0851265601467762E-2</v>
      </c>
      <c r="F29" s="14">
        <f t="shared" si="12"/>
        <v>3.745842014591072E-2</v>
      </c>
      <c r="G29" s="14">
        <f t="shared" si="12"/>
        <v>3.1330235589388231E-2</v>
      </c>
      <c r="H29" s="13">
        <f t="shared" si="12"/>
        <v>3.8987293536862526E-2</v>
      </c>
      <c r="I29" s="13">
        <f t="shared" si="12"/>
        <v>3.8897683558750534E-2</v>
      </c>
      <c r="J29" s="13">
        <f t="shared" si="12"/>
        <v>3.9046660758352066E-2</v>
      </c>
      <c r="K29" s="13">
        <f t="shared" si="12"/>
        <v>3.9205967041565919E-2</v>
      </c>
      <c r="L29" s="13">
        <f t="shared" si="12"/>
        <v>3.8568228052152452E-2</v>
      </c>
    </row>
    <row r="30" spans="1:20" ht="18" customHeight="1">
      <c r="A30" s="67" t="s">
        <v>206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</row>
    <row r="31" spans="1:20">
      <c r="A31" s="2" t="s">
        <v>204</v>
      </c>
      <c r="B31" s="15">
        <f t="shared" ref="B31:L31" si="13">B28</f>
        <v>445771</v>
      </c>
      <c r="C31" s="15">
        <f t="shared" si="13"/>
        <v>557960</v>
      </c>
      <c r="D31" s="15">
        <f t="shared" si="13"/>
        <v>831958</v>
      </c>
      <c r="E31" s="15">
        <f t="shared" si="13"/>
        <v>1048499</v>
      </c>
      <c r="F31" s="15">
        <f t="shared" si="13"/>
        <v>1096550</v>
      </c>
      <c r="G31" s="15">
        <f t="shared" si="13"/>
        <v>1053766</v>
      </c>
      <c r="H31" s="16">
        <f t="shared" si="13"/>
        <v>1557436.5611308524</v>
      </c>
      <c r="I31" s="16">
        <f t="shared" si="13"/>
        <v>1808378.6435966331</v>
      </c>
      <c r="J31" s="16">
        <f t="shared" si="13"/>
        <v>2089488.3111123815</v>
      </c>
      <c r="K31" s="16">
        <f t="shared" si="13"/>
        <v>2388210.3908459987</v>
      </c>
      <c r="L31" s="16">
        <f t="shared" si="13"/>
        <v>2644536.813544061</v>
      </c>
    </row>
    <row r="32" spans="1:20">
      <c r="A32" s="2" t="s">
        <v>207</v>
      </c>
      <c r="B32" s="15">
        <f t="shared" ref="B32:L32" si="14">-B17</f>
        <v>198146</v>
      </c>
      <c r="C32" s="15">
        <f t="shared" si="14"/>
        <v>247343</v>
      </c>
      <c r="D32" s="15">
        <f t="shared" si="14"/>
        <v>300129</v>
      </c>
      <c r="E32" s="15">
        <f t="shared" si="14"/>
        <v>356828</v>
      </c>
      <c r="F32" s="15">
        <f t="shared" si="14"/>
        <v>409179</v>
      </c>
      <c r="G32" s="15">
        <f t="shared" si="14"/>
        <v>505031</v>
      </c>
      <c r="H32" s="16">
        <f t="shared" si="14"/>
        <v>599209.2884025001</v>
      </c>
      <c r="I32" s="16">
        <f t="shared" si="14"/>
        <v>743850.42116568505</v>
      </c>
      <c r="J32" s="16">
        <f t="shared" si="14"/>
        <v>909714.18807720963</v>
      </c>
      <c r="K32" s="16">
        <f t="shared" si="14"/>
        <v>1096460.3166056992</v>
      </c>
      <c r="L32" s="16">
        <f t="shared" si="14"/>
        <v>1302787.345827597</v>
      </c>
    </row>
    <row r="33" spans="1:12">
      <c r="A33" s="2" t="s">
        <v>208</v>
      </c>
      <c r="B33" s="15">
        <f>B34-SUM(B31:B32)</f>
        <v>176005</v>
      </c>
      <c r="C33" s="15">
        <f>SUM('Dane źródłowe'!C28:C31)-SUM('Dane źródłowe'!B28:B31)</f>
        <v>529904</v>
      </c>
      <c r="D33" s="15">
        <f>SUM('Dane źródłowe'!D28:D31)-SUM('Dane źródłowe'!C28:C31)</f>
        <v>757504</v>
      </c>
      <c r="E33" s="15">
        <f>SUM('Dane źródłowe'!E28:E31)-SUM('Dane źródłowe'!D28:D31)</f>
        <v>710654</v>
      </c>
      <c r="F33" s="15">
        <f>SUM('Dane źródłowe'!F28:F31)-SUM('Dane źródłowe'!E28:E31)</f>
        <v>512930</v>
      </c>
      <c r="G33" s="15">
        <f>SUM('Dane źródłowe'!G28:G31)-SUM('Dane źródłowe'!F28:F31)</f>
        <v>468881</v>
      </c>
      <c r="H33" s="16">
        <f>(H90-G90)</f>
        <v>-347357.70855479501</v>
      </c>
      <c r="I33" s="16">
        <f>-(I90-H90)</f>
        <v>360423.33960627485</v>
      </c>
      <c r="J33" s="16">
        <f>-(J90-I90)</f>
        <v>389186.26429572701</v>
      </c>
      <c r="K33" s="16">
        <f>-(K90-J90)</f>
        <v>413821.0898015853</v>
      </c>
      <c r="L33" s="16">
        <f>-(L90-K90)</f>
        <v>431376.5594545682</v>
      </c>
    </row>
    <row r="34" spans="1:12">
      <c r="A34" s="17" t="s">
        <v>209</v>
      </c>
      <c r="B34" s="35">
        <f>'Dane źródłowe'!B72</f>
        <v>819922</v>
      </c>
      <c r="C34" s="35">
        <f>'Dane źródłowe'!C72</f>
        <v>1326331</v>
      </c>
      <c r="D34" s="35">
        <f>'Dane źródłowe'!D72</f>
        <v>1253422</v>
      </c>
      <c r="E34" s="35">
        <f>'Dane źródłowe'!E72</f>
        <v>1771540</v>
      </c>
      <c r="F34" s="35">
        <f>'Dane źródłowe'!F72</f>
        <v>2557453</v>
      </c>
      <c r="G34" s="35">
        <f>'Dane źródłowe'!G72</f>
        <v>2697445</v>
      </c>
      <c r="H34" s="36">
        <f t="shared" ref="C34:L34" si="15">SUM(H31:H33)</f>
        <v>1809288.1409785575</v>
      </c>
      <c r="I34" s="36">
        <f t="shared" si="15"/>
        <v>2912652.4043685929</v>
      </c>
      <c r="J34" s="36">
        <f t="shared" si="15"/>
        <v>3388388.763485318</v>
      </c>
      <c r="K34" s="36">
        <f t="shared" si="15"/>
        <v>3898491.7972532832</v>
      </c>
      <c r="L34" s="36">
        <f t="shared" si="15"/>
        <v>4378700.7188262269</v>
      </c>
    </row>
    <row r="35" spans="1:12">
      <c r="A35" s="2" t="s">
        <v>210</v>
      </c>
      <c r="B35" s="15">
        <f>'Dane źródłowe'!B74</f>
        <v>-1002025</v>
      </c>
      <c r="C35" s="15">
        <f>'Dane źródłowe'!C74</f>
        <v>-1335604</v>
      </c>
      <c r="D35" s="15">
        <f>'Dane źródłowe'!D74</f>
        <v>-1445905</v>
      </c>
      <c r="E35" s="15">
        <f>'Dane źródłowe'!E74</f>
        <v>-1172863</v>
      </c>
      <c r="F35" s="15">
        <f>'Dane źródłowe'!F74</f>
        <v>-1561914</v>
      </c>
      <c r="G35" s="15">
        <f>'Dane źródłowe'!G74</f>
        <v>-2087043</v>
      </c>
      <c r="H35" s="16">
        <f>-H6*Założenia!B32</f>
        <v>-2436784.4395035002</v>
      </c>
      <c r="I35" s="16">
        <f>-I6*Założenia!C32</f>
        <v>-2742948.4280484635</v>
      </c>
      <c r="J35" s="16">
        <f>-J6*Założenia!D32</f>
        <v>-3050218.160023585</v>
      </c>
      <c r="K35" s="16">
        <f>-K6*Założenia!E32</f>
        <v>-3350295.4118507477</v>
      </c>
      <c r="L35" s="16">
        <f>-L6*Założenia!F32</f>
        <v>-3634091.0173085597</v>
      </c>
    </row>
    <row r="36" spans="1:12">
      <c r="A36" s="2" t="s">
        <v>92</v>
      </c>
      <c r="B36" s="15">
        <f>'Dane źródłowe'!B79-B35</f>
        <v>1889</v>
      </c>
      <c r="C36" s="15">
        <f>'Dane źródłowe'!C79-C35</f>
        <v>4876</v>
      </c>
      <c r="D36" s="15">
        <f>'Dane źródłowe'!D79-D35</f>
        <v>11342</v>
      </c>
      <c r="E36" s="15">
        <f>'Dane źródłowe'!E79-E35</f>
        <v>14607</v>
      </c>
      <c r="F36" s="15">
        <f>'Dane źródłowe'!F79-F35</f>
        <v>-34995</v>
      </c>
      <c r="G36" s="15">
        <f>'Dane źródłowe'!G79-G35</f>
        <v>11989</v>
      </c>
      <c r="H36" s="16">
        <f>Założenia!B56</f>
        <v>0</v>
      </c>
      <c r="I36" s="16">
        <f>Założenia!C56</f>
        <v>0</v>
      </c>
      <c r="J36" s="16">
        <f>Założenia!D56</f>
        <v>0</v>
      </c>
      <c r="K36" s="16">
        <f>Założenia!E56</f>
        <v>0</v>
      </c>
      <c r="L36" s="16">
        <f>Założenia!F56</f>
        <v>0</v>
      </c>
    </row>
    <row r="37" spans="1:12">
      <c r="A37" s="17" t="s">
        <v>211</v>
      </c>
      <c r="B37" s="35">
        <f t="shared" ref="B37:L37" si="16">SUM(B35:B36)</f>
        <v>-1000136</v>
      </c>
      <c r="C37" s="35">
        <f t="shared" si="16"/>
        <v>-1330728</v>
      </c>
      <c r="D37" s="35">
        <f t="shared" si="16"/>
        <v>-1434563</v>
      </c>
      <c r="E37" s="35">
        <f t="shared" si="16"/>
        <v>-1158256</v>
      </c>
      <c r="F37" s="35">
        <f t="shared" si="16"/>
        <v>-1596909</v>
      </c>
      <c r="G37" s="35">
        <f t="shared" si="16"/>
        <v>-2075054</v>
      </c>
      <c r="H37" s="36">
        <f t="shared" si="16"/>
        <v>-2436784.4395035002</v>
      </c>
      <c r="I37" s="36">
        <f t="shared" si="16"/>
        <v>-2742948.4280484635</v>
      </c>
      <c r="J37" s="36">
        <f t="shared" si="16"/>
        <v>-3050218.160023585</v>
      </c>
      <c r="K37" s="36">
        <f t="shared" si="16"/>
        <v>-3350295.4118507477</v>
      </c>
      <c r="L37" s="36">
        <f t="shared" si="16"/>
        <v>-3634091.0173085597</v>
      </c>
    </row>
    <row r="38" spans="1:12">
      <c r="A38" s="2" t="s">
        <v>212</v>
      </c>
      <c r="B38" s="15">
        <f>SUM('Dane źródłowe'!B80:B85)</f>
        <v>265912</v>
      </c>
      <c r="C38" s="15">
        <f>SUM('Dane źródłowe'!C80:C85)</f>
        <v>-57406</v>
      </c>
      <c r="D38" s="15">
        <f>SUM('Dane źródłowe'!D80:D85)</f>
        <v>145244</v>
      </c>
      <c r="E38" s="15">
        <f>SUM('Dane źródłowe'!E80:E85)</f>
        <v>-777613</v>
      </c>
      <c r="F38" s="15">
        <f>SUM('Dane źródłowe'!F80:F85)</f>
        <v>-287911</v>
      </c>
      <c r="G38" s="15">
        <f>SUM('Dane źródłowe'!G80:G85)</f>
        <v>-558599</v>
      </c>
      <c r="H38" s="16">
        <f>Założenia!B44+Założenia!B46+Założenia!B48</f>
        <v>-149993.37</v>
      </c>
      <c r="I38" s="16">
        <f>Założenia!C44+Założenia!C46+Założenia!C48</f>
        <v>23007.293000000005</v>
      </c>
      <c r="J38" s="16">
        <f>Założenia!D44+Założenia!D46+Założenia!D48</f>
        <v>25977.949370000009</v>
      </c>
      <c r="K38" s="16">
        <f>Założenia!E44+Założenia!E46+Założenia!E48</f>
        <v>28856.185319600016</v>
      </c>
      <c r="L38" s="16">
        <f>Założenia!F44+Założenia!F46+Założenia!F48</f>
        <v>31576.118291972016</v>
      </c>
    </row>
    <row r="39" spans="1:12">
      <c r="A39" s="2" t="s">
        <v>91</v>
      </c>
      <c r="B39" s="15">
        <f>0</f>
        <v>0</v>
      </c>
      <c r="C39" s="15">
        <f>0</f>
        <v>0</v>
      </c>
      <c r="D39" s="15">
        <f>0</f>
        <v>0</v>
      </c>
      <c r="E39" s="15">
        <f>0</f>
        <v>0</v>
      </c>
      <c r="F39" s="15">
        <f>0</f>
        <v>0</v>
      </c>
      <c r="G39" s="15">
        <f>0</f>
        <v>0</v>
      </c>
      <c r="H39" s="15">
        <f>Założenia!B55</f>
        <v>0</v>
      </c>
      <c r="I39" s="15">
        <f>Założenia!C55</f>
        <v>0</v>
      </c>
      <c r="J39" s="15">
        <f>Założenia!D55</f>
        <v>0</v>
      </c>
      <c r="K39" s="15">
        <f>Założenia!E55</f>
        <v>0</v>
      </c>
      <c r="L39" s="15">
        <f>Założenia!F55</f>
        <v>0</v>
      </c>
    </row>
    <row r="40" spans="1:12">
      <c r="A40" s="2" t="s">
        <v>90</v>
      </c>
      <c r="B40" s="15">
        <f>'Dane źródłowe'!B86-B38-B39</f>
        <v>0</v>
      </c>
      <c r="C40" s="15">
        <f>'Dane źródłowe'!C86-C38-C39</f>
        <v>0</v>
      </c>
      <c r="D40" s="15">
        <f>'Dane źródłowe'!D86-D38-D39</f>
        <v>0</v>
      </c>
      <c r="E40" s="15">
        <f>'Dane źródłowe'!E86-E38-E39</f>
        <v>0</v>
      </c>
      <c r="F40" s="15">
        <f>'Dane źródłowe'!F86-F38-F39</f>
        <v>0</v>
      </c>
      <c r="G40" s="15">
        <f>'Dane źródłowe'!G86-G38-G39</f>
        <v>0</v>
      </c>
      <c r="H40" s="16">
        <f>Założenia!B54</f>
        <v>0</v>
      </c>
      <c r="I40" s="16">
        <f>Założenia!C54</f>
        <v>0</v>
      </c>
      <c r="J40" s="16">
        <f>Założenia!D54</f>
        <v>0</v>
      </c>
      <c r="K40" s="16">
        <f>Założenia!E54</f>
        <v>0</v>
      </c>
      <c r="L40" s="16">
        <f>Założenia!F54</f>
        <v>0</v>
      </c>
    </row>
    <row r="41" spans="1:12">
      <c r="A41" s="17" t="s">
        <v>213</v>
      </c>
      <c r="B41" s="35">
        <f t="shared" ref="B41:L41" si="17">SUM(B38:B40)</f>
        <v>265912</v>
      </c>
      <c r="C41" s="35">
        <f t="shared" si="17"/>
        <v>-57406</v>
      </c>
      <c r="D41" s="35">
        <f t="shared" si="17"/>
        <v>145244</v>
      </c>
      <c r="E41" s="35">
        <f t="shared" si="17"/>
        <v>-777613</v>
      </c>
      <c r="F41" s="35">
        <f t="shared" si="17"/>
        <v>-287911</v>
      </c>
      <c r="G41" s="35">
        <f t="shared" si="17"/>
        <v>-558599</v>
      </c>
      <c r="H41" s="36">
        <f>SUM(H38:H40)</f>
        <v>-149993.37</v>
      </c>
      <c r="I41" s="36">
        <f t="shared" si="17"/>
        <v>23007.293000000005</v>
      </c>
      <c r="J41" s="36">
        <f t="shared" si="17"/>
        <v>25977.949370000009</v>
      </c>
      <c r="K41" s="36">
        <f t="shared" si="17"/>
        <v>28856.185319600016</v>
      </c>
      <c r="L41" s="36">
        <f t="shared" si="17"/>
        <v>31576.118291972016</v>
      </c>
    </row>
    <row r="42" spans="1:12">
      <c r="A42" s="17" t="s">
        <v>214</v>
      </c>
      <c r="B42" s="35">
        <f t="shared" ref="B42:L42" si="18">SUM(B34,B37,B41)</f>
        <v>85698</v>
      </c>
      <c r="C42" s="35">
        <f t="shared" si="18"/>
        <v>-61803</v>
      </c>
      <c r="D42" s="35">
        <f t="shared" si="18"/>
        <v>-35897</v>
      </c>
      <c r="E42" s="35">
        <f t="shared" si="18"/>
        <v>-164329</v>
      </c>
      <c r="F42" s="35">
        <f t="shared" si="18"/>
        <v>672633</v>
      </c>
      <c r="G42" s="35">
        <f t="shared" si="18"/>
        <v>63792</v>
      </c>
      <c r="H42" s="36">
        <f t="shared" si="18"/>
        <v>-777489.66852494271</v>
      </c>
      <c r="I42" s="36">
        <f t="shared" si="18"/>
        <v>192711.26932012936</v>
      </c>
      <c r="J42" s="36">
        <f t="shared" si="18"/>
        <v>364148.55283173308</v>
      </c>
      <c r="K42" s="36">
        <f t="shared" si="18"/>
        <v>577052.5707221356</v>
      </c>
      <c r="L42" s="36">
        <f t="shared" si="18"/>
        <v>776185.81980963913</v>
      </c>
    </row>
    <row r="43" spans="1:12">
      <c r="A43" s="2" t="s">
        <v>215</v>
      </c>
      <c r="B43" s="15">
        <f>'Dane źródłowe'!B88</f>
        <v>394720</v>
      </c>
      <c r="C43" s="15">
        <f>'Dane źródłowe'!C88</f>
        <v>480418</v>
      </c>
      <c r="D43" s="15">
        <f>'Dane źródłowe'!D88</f>
        <v>418615</v>
      </c>
      <c r="E43" s="15">
        <f>'Dane źródłowe'!E88</f>
        <v>382718</v>
      </c>
      <c r="F43" s="15">
        <f>'Dane źródłowe'!F88</f>
        <v>218389</v>
      </c>
      <c r="G43" s="15">
        <f>'Dane źródłowe'!G88</f>
        <v>891022</v>
      </c>
      <c r="H43" s="16">
        <f>G44</f>
        <v>954814</v>
      </c>
      <c r="I43" s="16">
        <f>H44</f>
        <v>177324.33147505729</v>
      </c>
      <c r="J43" s="16">
        <f>I44</f>
        <v>370035.60079518665</v>
      </c>
      <c r="K43" s="16">
        <f>J44</f>
        <v>734184.15362691972</v>
      </c>
      <c r="L43" s="16">
        <f>K44</f>
        <v>1311236.7243490554</v>
      </c>
    </row>
    <row r="44" spans="1:12">
      <c r="A44" s="17" t="s">
        <v>216</v>
      </c>
      <c r="B44" s="35">
        <f>'Dane źródłowe'!B89</f>
        <v>480418</v>
      </c>
      <c r="C44" s="35">
        <f>'Dane źródłowe'!C89</f>
        <v>418615</v>
      </c>
      <c r="D44" s="35">
        <f>'Dane źródłowe'!D89</f>
        <v>382718</v>
      </c>
      <c r="E44" s="35">
        <f>'Dane źródłowe'!E89</f>
        <v>218389</v>
      </c>
      <c r="F44" s="35">
        <f>'Dane źródłowe'!F89</f>
        <v>891022</v>
      </c>
      <c r="G44" s="35">
        <f>'Dane źródłowe'!G89</f>
        <v>954814</v>
      </c>
      <c r="H44" s="36">
        <f>H43+H42</f>
        <v>177324.33147505729</v>
      </c>
      <c r="I44" s="36">
        <f>I43+I42</f>
        <v>370035.60079518665</v>
      </c>
      <c r="J44" s="36">
        <f>J43+J42</f>
        <v>734184.15362691972</v>
      </c>
      <c r="K44" s="36">
        <f>K43+K42</f>
        <v>1311236.7243490554</v>
      </c>
      <c r="L44" s="36">
        <f>L43+L42</f>
        <v>2087422.5441586946</v>
      </c>
    </row>
    <row r="45" spans="1:12" ht="18" customHeight="1">
      <c r="A45" s="67" t="s">
        <v>217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</row>
    <row r="46" spans="1:12">
      <c r="A46" s="2" t="s">
        <v>218</v>
      </c>
      <c r="B46" s="15">
        <f>'Dane źródłowe'!B22+'Dane źródłowe'!B23</f>
        <v>3934018</v>
      </c>
      <c r="C46" s="15">
        <f>'Dane źródłowe'!C22+'Dane źródłowe'!C23</f>
        <v>5051284</v>
      </c>
      <c r="D46" s="15">
        <f>'Dane źródłowe'!D22+'Dane źródłowe'!D23</f>
        <v>6175148</v>
      </c>
      <c r="E46" s="15">
        <f>'Dane źródłowe'!E22+'Dane źródłowe'!E23</f>
        <v>6968171</v>
      </c>
      <c r="F46" s="15">
        <f>'Dane źródłowe'!F22+'Dane źródłowe'!F23</f>
        <v>8372265</v>
      </c>
      <c r="G46" s="15">
        <f>'Dane źródłowe'!G22+'Dane źródłowe'!G23</f>
        <v>9991687</v>
      </c>
      <c r="H46" s="16">
        <f>G46-(H35*Założenia!B38)-(H32*Założenia!B40)</f>
        <v>11737383.39354595</v>
      </c>
      <c r="I46" s="16">
        <f>H46-(I35*Założenia!C38)-(I32*Założenia!C40)</f>
        <v>13636526.50008459</v>
      </c>
      <c r="J46" s="16">
        <f>I46-(J35*Założenia!D38)-(J32*Założenia!D40)</f>
        <v>15670005.273433648</v>
      </c>
      <c r="K46" s="16">
        <f>J46-(K35*Założenia!E38)-(K32*Założenia!E40)</f>
        <v>17811148.613916446</v>
      </c>
      <c r="L46" s="16">
        <f>K46-(L35*Założenia!F38)-(L32*Założenia!F40)</f>
        <v>20025887.10182336</v>
      </c>
    </row>
    <row r="47" spans="1:12">
      <c r="A47" s="2" t="s">
        <v>113</v>
      </c>
      <c r="B47" s="15">
        <f>'Dane źródłowe'!B24</f>
        <v>99050</v>
      </c>
      <c r="C47" s="15">
        <f>'Dane źródłowe'!C24</f>
        <v>96947</v>
      </c>
      <c r="D47" s="15">
        <f>'Dane źródłowe'!D24</f>
        <v>94737</v>
      </c>
      <c r="E47" s="15">
        <f>'Dane źródłowe'!E24</f>
        <v>115056</v>
      </c>
      <c r="F47" s="15">
        <f>'Dane źródłowe'!F24</f>
        <v>169964</v>
      </c>
      <c r="G47" s="15">
        <f>'Dane źródłowe'!G24</f>
        <v>176185</v>
      </c>
      <c r="H47" s="16">
        <f>G47-(H35*Założenia!B39)-(H32*Założenia!B41)</f>
        <v>268063.75755505002</v>
      </c>
      <c r="I47" s="16">
        <f>H47-(I35*Założenia!C39)-(I32*Założenia!C41)</f>
        <v>368018.65789918893</v>
      </c>
      <c r="J47" s="16">
        <f>I47-(J35*Założenia!D39)-(J32*Założenia!D41)</f>
        <v>475043.85649650765</v>
      </c>
      <c r="K47" s="16">
        <f>J47-(K35*Założenia!E39)-(K32*Założenia!E41)</f>
        <v>587735.61125876009</v>
      </c>
      <c r="L47" s="16">
        <f>K47-(L35*Założenia!F39)-(L32*Założenia!F41)</f>
        <v>704300.79483280831</v>
      </c>
    </row>
    <row r="48" spans="1:12">
      <c r="A48" s="2" t="s">
        <v>219</v>
      </c>
      <c r="B48" s="15">
        <f>'Dane źródłowe'!B25</f>
        <v>6</v>
      </c>
      <c r="C48" s="15">
        <f>'Dane źródłowe'!C25</f>
        <v>0</v>
      </c>
      <c r="D48" s="15">
        <f>'Dane źródłowe'!D25</f>
        <v>0</v>
      </c>
      <c r="E48" s="15">
        <f>'Dane źródłowe'!E25</f>
        <v>0</v>
      </c>
      <c r="F48" s="15">
        <f>'Dane źródłowe'!F25</f>
        <v>0</v>
      </c>
      <c r="G48" s="15">
        <f>'Dane źródłowe'!G25</f>
        <v>0</v>
      </c>
      <c r="H48" s="16">
        <f t="shared" ref="H48:L49" si="19">G48</f>
        <v>0</v>
      </c>
      <c r="I48" s="16">
        <f t="shared" si="19"/>
        <v>0</v>
      </c>
      <c r="J48" s="16">
        <f t="shared" si="19"/>
        <v>0</v>
      </c>
      <c r="K48" s="16">
        <f t="shared" si="19"/>
        <v>0</v>
      </c>
      <c r="L48" s="16">
        <f t="shared" si="19"/>
        <v>0</v>
      </c>
    </row>
    <row r="49" spans="1:19">
      <c r="A49" s="2" t="s">
        <v>115</v>
      </c>
      <c r="B49" s="15">
        <f>'Dane źródłowe'!B26</f>
        <v>20738</v>
      </c>
      <c r="C49" s="15">
        <f>'Dane źródłowe'!C26</f>
        <v>35116</v>
      </c>
      <c r="D49" s="15">
        <f>'Dane źródłowe'!D26</f>
        <v>26468</v>
      </c>
      <c r="E49" s="15">
        <f>'Dane źródłowe'!E26</f>
        <v>41323</v>
      </c>
      <c r="F49" s="15">
        <f>'Dane źródłowe'!F26</f>
        <v>74149</v>
      </c>
      <c r="G49" s="15">
        <f>'Dane źródłowe'!G26</f>
        <v>31376</v>
      </c>
      <c r="H49" s="16">
        <f t="shared" si="19"/>
        <v>31376</v>
      </c>
      <c r="I49" s="16">
        <f t="shared" si="19"/>
        <v>31376</v>
      </c>
      <c r="J49" s="16">
        <f t="shared" si="19"/>
        <v>31376</v>
      </c>
      <c r="K49" s="16">
        <f t="shared" si="19"/>
        <v>31376</v>
      </c>
      <c r="L49" s="16">
        <f t="shared" si="19"/>
        <v>31376</v>
      </c>
    </row>
    <row r="50" spans="1:19">
      <c r="A50" s="17" t="s">
        <v>116</v>
      </c>
      <c r="B50" s="35">
        <f t="shared" ref="B50:L50" si="20">SUM(B46:B49)</f>
        <v>4053812</v>
      </c>
      <c r="C50" s="35">
        <f t="shared" si="20"/>
        <v>5183347</v>
      </c>
      <c r="D50" s="35">
        <f t="shared" si="20"/>
        <v>6296353</v>
      </c>
      <c r="E50" s="35">
        <f t="shared" si="20"/>
        <v>7124550</v>
      </c>
      <c r="F50" s="35">
        <f t="shared" si="20"/>
        <v>8616378</v>
      </c>
      <c r="G50" s="35">
        <f t="shared" si="20"/>
        <v>10199248</v>
      </c>
      <c r="H50" s="36">
        <f t="shared" si="20"/>
        <v>12036823.151101001</v>
      </c>
      <c r="I50" s="36">
        <f t="shared" si="20"/>
        <v>14035921.15798378</v>
      </c>
      <c r="J50" s="36">
        <f t="shared" si="20"/>
        <v>16176425.129930155</v>
      </c>
      <c r="K50" s="36">
        <f t="shared" si="20"/>
        <v>18430260.225175206</v>
      </c>
      <c r="L50" s="36">
        <f t="shared" si="20"/>
        <v>20761563.896656167</v>
      </c>
      <c r="N50" s="63"/>
      <c r="O50" s="63"/>
      <c r="P50" s="63"/>
      <c r="Q50" s="63"/>
      <c r="R50" s="63"/>
      <c r="S50" s="63"/>
    </row>
    <row r="51" spans="1:19">
      <c r="A51" s="2" t="s">
        <v>117</v>
      </c>
      <c r="B51" s="15">
        <f>'Dane źródłowe'!B28</f>
        <v>875147</v>
      </c>
      <c r="C51" s="15">
        <f>'Dane źródłowe'!C28</f>
        <v>1373463</v>
      </c>
      <c r="D51" s="15">
        <f>'Dane źródłowe'!D28</f>
        <v>1978778</v>
      </c>
      <c r="E51" s="15">
        <f>'Dane źródłowe'!E28</f>
        <v>2638859</v>
      </c>
      <c r="F51" s="15">
        <f>'Dane źródłowe'!F28</f>
        <v>3081444</v>
      </c>
      <c r="G51" s="15">
        <f>'Dane źródłowe'!G28</f>
        <v>3548100</v>
      </c>
      <c r="H51" s="16">
        <f>H6*G51/G6</f>
        <v>4214078.370000001</v>
      </c>
      <c r="I51" s="16">
        <f t="shared" ref="I51:L51" si="21">I6*H51/H6</f>
        <v>4904344.407006002</v>
      </c>
      <c r="J51" s="16">
        <f t="shared" si="21"/>
        <v>5645096.5862401891</v>
      </c>
      <c r="K51" s="16">
        <f t="shared" si="21"/>
        <v>6425926.3460489335</v>
      </c>
      <c r="L51" s="16">
        <f t="shared" si="21"/>
        <v>7233279.7321665203</v>
      </c>
    </row>
    <row r="52" spans="1:19">
      <c r="A52" s="2" t="s">
        <v>118</v>
      </c>
      <c r="B52" s="15">
        <f>'Dane źródłowe'!B29</f>
        <v>86822</v>
      </c>
      <c r="C52" s="15">
        <f>'Dane źródłowe'!C29</f>
        <v>144012</v>
      </c>
      <c r="D52" s="15">
        <f>'Dane źródłowe'!D29</f>
        <v>274872</v>
      </c>
      <c r="E52" s="15">
        <f>'Dane źródłowe'!E29</f>
        <v>330389</v>
      </c>
      <c r="F52" s="15">
        <f>'Dane źródłowe'!F29</f>
        <v>376480</v>
      </c>
      <c r="G52" s="15">
        <f>'Dane źródłowe'!G29</f>
        <v>372038</v>
      </c>
      <c r="H52" s="16">
        <f>H6/Założenia!B11*Założenia!B34</f>
        <v>437778.47554520558</v>
      </c>
      <c r="I52" s="16">
        <f>I6/Założenia!B11*Założenia!C34</f>
        <v>509486.58983951033</v>
      </c>
      <c r="J52" s="16">
        <f>J6/Założenia!B11*Założenia!D34</f>
        <v>586439.44436887</v>
      </c>
      <c r="K52" s="16">
        <f>K6/Założenia!B11*Założenia!E34</f>
        <v>667555.74831397214</v>
      </c>
      <c r="L52" s="16">
        <f>L6/Założenia!B11*Założenia!F34</f>
        <v>751427.45253213949</v>
      </c>
    </row>
    <row r="53" spans="1:19">
      <c r="A53" s="2" t="s">
        <v>119</v>
      </c>
      <c r="B53" s="15">
        <f>'Dane źródłowe'!B30</f>
        <v>2</v>
      </c>
      <c r="C53" s="15">
        <f>'Dane źródłowe'!C30</f>
        <v>55</v>
      </c>
      <c r="D53" s="15">
        <f>'Dane źródłowe'!D30</f>
        <v>0</v>
      </c>
      <c r="E53" s="15">
        <f>'Dane źródłowe'!E30</f>
        <v>103</v>
      </c>
      <c r="F53" s="15">
        <f>'Dane źródłowe'!F30</f>
        <v>220</v>
      </c>
      <c r="G53" s="15">
        <f>'Dane źródłowe'!G30</f>
        <v>18596</v>
      </c>
      <c r="H53" s="16">
        <f>G53*(1+Założenia!B27)</f>
        <v>19339.84</v>
      </c>
      <c r="I53" s="16">
        <f>H53*(1+Założenia!C27)</f>
        <v>20016.734399999998</v>
      </c>
      <c r="J53" s="16">
        <f>I53*(1+Założenia!D27)</f>
        <v>20617.236431999998</v>
      </c>
      <c r="K53" s="16">
        <f>J53*(1+Założenia!E27)</f>
        <v>21184.210433879998</v>
      </c>
      <c r="L53" s="16">
        <f>K53*(1+Założenia!F27)</f>
        <v>21713.815694726996</v>
      </c>
    </row>
    <row r="54" spans="1:19">
      <c r="A54" s="2" t="s">
        <v>220</v>
      </c>
      <c r="B54" s="15">
        <f>'Dane źródłowe'!B31</f>
        <v>73367</v>
      </c>
      <c r="C54" s="15">
        <f>'Dane źródłowe'!C31</f>
        <v>47712</v>
      </c>
      <c r="D54" s="15">
        <f>'Dane źródłowe'!D31</f>
        <v>69096</v>
      </c>
      <c r="E54" s="15">
        <f>'Dane źródłowe'!E31</f>
        <v>64049</v>
      </c>
      <c r="F54" s="15">
        <f>'Dane źródłowe'!F31</f>
        <v>88186</v>
      </c>
      <c r="G54" s="15">
        <f>'Dane źródłowe'!G31</f>
        <v>76477</v>
      </c>
      <c r="H54" s="16">
        <f>G54*(1+Założenia!B27)</f>
        <v>79536.08</v>
      </c>
      <c r="I54" s="16">
        <f>H54*(1+Założenia!C27)</f>
        <v>82319.842799999999</v>
      </c>
      <c r="J54" s="16">
        <f>I54*(1+Założenia!D27)</f>
        <v>84789.438083999994</v>
      </c>
      <c r="K54" s="16">
        <f>J54*(1+Założenia!E27)</f>
        <v>87121.147631309999</v>
      </c>
      <c r="L54" s="16">
        <f>K54*(1+Założenia!F27)</f>
        <v>89299.176322092739</v>
      </c>
      <c r="N54" s="46"/>
    </row>
    <row r="55" spans="1:19">
      <c r="A55" s="2" t="s">
        <v>121</v>
      </c>
      <c r="B55" s="15">
        <f>'Dane źródłowe'!B32</f>
        <v>942</v>
      </c>
      <c r="C55" s="15">
        <f>'Dane źródłowe'!C32</f>
        <v>1327</v>
      </c>
      <c r="D55" s="15">
        <f>'Dane źródłowe'!D32</f>
        <v>1242</v>
      </c>
      <c r="E55" s="15">
        <f>'Dane źródłowe'!E32</f>
        <v>1376</v>
      </c>
      <c r="F55" s="15">
        <f>'Dane źródłowe'!F32</f>
        <v>2064</v>
      </c>
      <c r="G55" s="15">
        <f>'Dane źródłowe'!G32</f>
        <v>2007</v>
      </c>
      <c r="H55" s="16">
        <f>G55*(1+Założenia!B27)</f>
        <v>2087.2800000000002</v>
      </c>
      <c r="I55" s="16">
        <f>H55*(1+Założenia!C27)</f>
        <v>2160.3348000000001</v>
      </c>
      <c r="J55" s="16">
        <f>I55*(1+Założenia!D27)</f>
        <v>2225.1448439999999</v>
      </c>
      <c r="K55" s="16">
        <f>J55*(1+Założenia!E27)</f>
        <v>2286.33632721</v>
      </c>
      <c r="L55" s="16">
        <f>K55*(1+Założenia!F27)</f>
        <v>2343.4947353902498</v>
      </c>
    </row>
    <row r="56" spans="1:19">
      <c r="A56" s="2" t="s">
        <v>122</v>
      </c>
      <c r="B56" s="15">
        <f t="shared" ref="B56:L56" si="22">B44</f>
        <v>480418</v>
      </c>
      <c r="C56" s="15">
        <f t="shared" si="22"/>
        <v>418615</v>
      </c>
      <c r="D56" s="15">
        <f t="shared" si="22"/>
        <v>382718</v>
      </c>
      <c r="E56" s="15">
        <f t="shared" si="22"/>
        <v>218389</v>
      </c>
      <c r="F56" s="15">
        <f t="shared" si="22"/>
        <v>891022</v>
      </c>
      <c r="G56" s="15">
        <f t="shared" si="22"/>
        <v>954814</v>
      </c>
      <c r="H56" s="16">
        <f t="shared" si="22"/>
        <v>177324.33147505729</v>
      </c>
      <c r="I56" s="16">
        <f t="shared" si="22"/>
        <v>370035.60079518665</v>
      </c>
      <c r="J56" s="16">
        <f t="shared" si="22"/>
        <v>734184.15362691972</v>
      </c>
      <c r="K56" s="16">
        <f t="shared" si="22"/>
        <v>1311236.7243490554</v>
      </c>
      <c r="L56" s="16">
        <f t="shared" si="22"/>
        <v>2087422.5441586946</v>
      </c>
    </row>
    <row r="57" spans="1:19">
      <c r="A57" s="17" t="s">
        <v>123</v>
      </c>
      <c r="B57" s="35">
        <f t="shared" ref="B57:L57" si="23">SUM(B51:B56)</f>
        <v>1516698</v>
      </c>
      <c r="C57" s="35">
        <f t="shared" si="23"/>
        <v>1985184</v>
      </c>
      <c r="D57" s="35">
        <f t="shared" si="23"/>
        <v>2706706</v>
      </c>
      <c r="E57" s="35">
        <f t="shared" si="23"/>
        <v>3253165</v>
      </c>
      <c r="F57" s="35">
        <f t="shared" si="23"/>
        <v>4439416</v>
      </c>
      <c r="G57" s="35">
        <f t="shared" si="23"/>
        <v>4972032</v>
      </c>
      <c r="H57" s="36">
        <f t="shared" si="23"/>
        <v>4930144.377020264</v>
      </c>
      <c r="I57" s="36">
        <f t="shared" si="23"/>
        <v>5888363.5096407002</v>
      </c>
      <c r="J57" s="36">
        <f t="shared" si="23"/>
        <v>7073352.003595979</v>
      </c>
      <c r="K57" s="36">
        <f t="shared" si="23"/>
        <v>8515310.5131043606</v>
      </c>
      <c r="L57" s="36">
        <f t="shared" si="23"/>
        <v>10185486.215609564</v>
      </c>
    </row>
    <row r="58" spans="1:19">
      <c r="A58" s="17" t="s">
        <v>221</v>
      </c>
      <c r="B58" s="35">
        <f t="shared" ref="B58:L58" si="24">SUM(B50,B57)</f>
        <v>5570510</v>
      </c>
      <c r="C58" s="35">
        <f t="shared" si="24"/>
        <v>7168531</v>
      </c>
      <c r="D58" s="35">
        <f t="shared" si="24"/>
        <v>9003059</v>
      </c>
      <c r="E58" s="35">
        <f t="shared" si="24"/>
        <v>10377715</v>
      </c>
      <c r="F58" s="35">
        <f t="shared" si="24"/>
        <v>13055794</v>
      </c>
      <c r="G58" s="35">
        <f t="shared" si="24"/>
        <v>15171280</v>
      </c>
      <c r="H58" s="36">
        <f t="shared" si="24"/>
        <v>16966967.528121263</v>
      </c>
      <c r="I58" s="36">
        <f t="shared" si="24"/>
        <v>19924284.667624481</v>
      </c>
      <c r="J58" s="36">
        <f t="shared" si="24"/>
        <v>23249777.133526135</v>
      </c>
      <c r="K58" s="36">
        <f t="shared" si="24"/>
        <v>26945570.738279566</v>
      </c>
      <c r="L58" s="36">
        <f t="shared" si="24"/>
        <v>30947050.112265728</v>
      </c>
    </row>
    <row r="59" spans="1:19" ht="18" customHeight="1">
      <c r="A59" s="67" t="s">
        <v>222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</row>
    <row r="60" spans="1:19">
      <c r="A60" s="2" t="s">
        <v>126</v>
      </c>
      <c r="B60" s="15">
        <f>'Dane źródłowe'!B37</f>
        <v>9804</v>
      </c>
      <c r="C60" s="15">
        <f>'Dane źródłowe'!C37</f>
        <v>9804</v>
      </c>
      <c r="D60" s="15">
        <f>'Dane źródłowe'!D37</f>
        <v>9804</v>
      </c>
      <c r="E60" s="15">
        <f>'Dane źródłowe'!E37</f>
        <v>9804</v>
      </c>
      <c r="F60" s="15">
        <f>'Dane źródłowe'!F37</f>
        <v>9804</v>
      </c>
      <c r="G60" s="15">
        <f>'Dane źródłowe'!G37</f>
        <v>9804</v>
      </c>
      <c r="H60" s="16">
        <f t="shared" ref="H60:L61" si="25">G60</f>
        <v>9804</v>
      </c>
      <c r="I60" s="16">
        <f t="shared" si="25"/>
        <v>9804</v>
      </c>
      <c r="J60" s="16">
        <f t="shared" si="25"/>
        <v>9804</v>
      </c>
      <c r="K60" s="16">
        <f t="shared" si="25"/>
        <v>9804</v>
      </c>
      <c r="L60" s="16">
        <f t="shared" si="25"/>
        <v>9804</v>
      </c>
    </row>
    <row r="61" spans="1:19">
      <c r="A61" s="2" t="s">
        <v>127</v>
      </c>
      <c r="B61" s="15">
        <f>'Dane źródłowe'!B38</f>
        <v>2063322</v>
      </c>
      <c r="C61" s="15">
        <f>'Dane źródłowe'!C38</f>
        <v>2707720</v>
      </c>
      <c r="D61" s="15">
        <f>'Dane źródłowe'!D38</f>
        <v>3512022</v>
      </c>
      <c r="E61" s="15">
        <f>'Dane źródłowe'!E38</f>
        <v>4652148</v>
      </c>
      <c r="F61" s="15">
        <f>'Dane źródłowe'!F38</f>
        <v>6058912</v>
      </c>
      <c r="G61" s="15">
        <f>'Dane źródłowe'!G38</f>
        <v>7569927</v>
      </c>
      <c r="H61" s="16">
        <f t="shared" si="25"/>
        <v>7569927</v>
      </c>
      <c r="I61" s="16">
        <f t="shared" si="25"/>
        <v>7569927</v>
      </c>
      <c r="J61" s="16">
        <f t="shared" si="25"/>
        <v>7569927</v>
      </c>
      <c r="K61" s="16">
        <f t="shared" si="25"/>
        <v>7569927</v>
      </c>
      <c r="L61" s="16">
        <f t="shared" si="25"/>
        <v>7569927</v>
      </c>
    </row>
    <row r="62" spans="1:19">
      <c r="A62" s="2" t="s">
        <v>128</v>
      </c>
      <c r="B62" s="15">
        <f>'Dane źródłowe'!B39</f>
        <v>185937</v>
      </c>
      <c r="C62" s="15">
        <f>'Dane źródłowe'!C39</f>
        <v>345166</v>
      </c>
      <c r="D62" s="15">
        <f>'Dane źródłowe'!D39</f>
        <v>674457</v>
      </c>
      <c r="E62" s="15">
        <f>'Dane źródłowe'!E39</f>
        <v>935859</v>
      </c>
      <c r="F62" s="15">
        <f>'Dane źródłowe'!F39</f>
        <v>1031871</v>
      </c>
      <c r="G62" s="15">
        <f>'Dane źródłowe'!G39</f>
        <v>1077742</v>
      </c>
      <c r="H62" s="16">
        <f>G62+H28+H39</f>
        <v>2635178.5611308524</v>
      </c>
      <c r="I62" s="16">
        <f>H62+I28+I39</f>
        <v>4443557.2047274858</v>
      </c>
      <c r="J62" s="16">
        <f>I62+J28+J39</f>
        <v>6533045.5158398673</v>
      </c>
      <c r="K62" s="16">
        <f>J62+K28+K39</f>
        <v>8921255.9066858664</v>
      </c>
      <c r="L62" s="16">
        <f>K62+L28+L39</f>
        <v>11565792.720229927</v>
      </c>
    </row>
    <row r="63" spans="1:19">
      <c r="A63" s="2" t="s">
        <v>129</v>
      </c>
      <c r="B63" s="15">
        <f>'Dane źródłowe'!B40</f>
        <v>7500</v>
      </c>
      <c r="C63" s="15">
        <f>'Dane źródłowe'!C40</f>
        <v>7500</v>
      </c>
      <c r="D63" s="15">
        <f>'Dane źródłowe'!D40</f>
        <v>7500</v>
      </c>
      <c r="E63" s="15">
        <f>'Dane źródłowe'!E40</f>
        <v>7500</v>
      </c>
      <c r="F63" s="15">
        <f>'Dane źródłowe'!F40</f>
        <v>-15436</v>
      </c>
      <c r="G63" s="15">
        <f>'Dane źródłowe'!G40</f>
        <v>-4080</v>
      </c>
      <c r="H63" s="16">
        <f t="shared" ref="H63:L64" si="26">G63</f>
        <v>-4080</v>
      </c>
      <c r="I63" s="16">
        <f t="shared" si="26"/>
        <v>-4080</v>
      </c>
      <c r="J63" s="16">
        <f t="shared" si="26"/>
        <v>-4080</v>
      </c>
      <c r="K63" s="16">
        <f t="shared" si="26"/>
        <v>-4080</v>
      </c>
      <c r="L63" s="16">
        <f t="shared" si="26"/>
        <v>-4080</v>
      </c>
    </row>
    <row r="64" spans="1:19">
      <c r="A64" s="2" t="s">
        <v>130</v>
      </c>
      <c r="B64" s="15">
        <f>'Dane źródłowe'!B41</f>
        <v>0</v>
      </c>
      <c r="C64" s="15">
        <f>'Dane źródłowe'!C41</f>
        <v>0</v>
      </c>
      <c r="D64" s="15">
        <f>'Dane źródłowe'!D41</f>
        <v>0</v>
      </c>
      <c r="E64" s="15">
        <f>'Dane źródłowe'!E41</f>
        <v>0</v>
      </c>
      <c r="F64" s="15">
        <f>'Dane źródłowe'!F41</f>
        <v>17283</v>
      </c>
      <c r="G64" s="15">
        <f>'Dane źródłowe'!G41</f>
        <v>17720</v>
      </c>
      <c r="H64" s="16">
        <f t="shared" si="26"/>
        <v>17720</v>
      </c>
      <c r="I64" s="16">
        <f t="shared" si="26"/>
        <v>17720</v>
      </c>
      <c r="J64" s="16">
        <f t="shared" si="26"/>
        <v>17720</v>
      </c>
      <c r="K64" s="16">
        <f t="shared" si="26"/>
        <v>17720</v>
      </c>
      <c r="L64" s="16">
        <f t="shared" si="26"/>
        <v>17720</v>
      </c>
    </row>
    <row r="65" spans="1:12">
      <c r="A65" s="17" t="s">
        <v>131</v>
      </c>
      <c r="B65" s="35">
        <f t="shared" ref="B65:L65" si="27">SUM(B60:B64)</f>
        <v>2266563</v>
      </c>
      <c r="C65" s="35">
        <f t="shared" si="27"/>
        <v>3070190</v>
      </c>
      <c r="D65" s="35">
        <f t="shared" si="27"/>
        <v>4203783</v>
      </c>
      <c r="E65" s="35">
        <f t="shared" si="27"/>
        <v>5605311</v>
      </c>
      <c r="F65" s="35">
        <f t="shared" si="27"/>
        <v>7102434</v>
      </c>
      <c r="G65" s="35">
        <f t="shared" si="27"/>
        <v>8671113</v>
      </c>
      <c r="H65" s="36">
        <f t="shared" si="27"/>
        <v>10228549.561130852</v>
      </c>
      <c r="I65" s="36">
        <f t="shared" si="27"/>
        <v>12036928.204727486</v>
      </c>
      <c r="J65" s="36">
        <f t="shared" si="27"/>
        <v>14126416.515839867</v>
      </c>
      <c r="K65" s="36">
        <f t="shared" si="27"/>
        <v>16514626.906685866</v>
      </c>
      <c r="L65" s="36">
        <f t="shared" si="27"/>
        <v>19159163.720229927</v>
      </c>
    </row>
    <row r="66" spans="1:12" ht="18" customHeight="1">
      <c r="A66" s="67" t="s">
        <v>223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</row>
    <row r="67" spans="1:12">
      <c r="A67" s="2" t="s">
        <v>132</v>
      </c>
      <c r="B67" s="15">
        <f>'Dług i WACC'!B6</f>
        <v>725851</v>
      </c>
      <c r="C67" s="15">
        <f>'Dług i WACC'!C6</f>
        <v>583014</v>
      </c>
      <c r="D67" s="15">
        <f>'Dług i WACC'!D6</f>
        <v>690862</v>
      </c>
      <c r="E67" s="15">
        <f>'Dług i WACC'!E6</f>
        <v>469629</v>
      </c>
      <c r="F67" s="15">
        <f>'Dług i WACC'!F6</f>
        <v>272219</v>
      </c>
      <c r="G67" s="15">
        <f>'Dług i WACC'!G6</f>
        <v>312861</v>
      </c>
      <c r="H67" s="16">
        <f>'Dług i WACC'!H6</f>
        <v>310067.28999999998</v>
      </c>
      <c r="I67" s="16">
        <f>'Dług i WACC'!I6</f>
        <v>303367.28999999998</v>
      </c>
      <c r="J67" s="16">
        <f>'Dług i WACC'!J6</f>
        <v>296667.28999999998</v>
      </c>
      <c r="K67" s="16">
        <f>'Dług i WACC'!K6</f>
        <v>289967.28999999998</v>
      </c>
      <c r="L67" s="16">
        <f>'Dług i WACC'!L6</f>
        <v>283267.28999999998</v>
      </c>
    </row>
    <row r="68" spans="1:12">
      <c r="A68" s="2" t="s">
        <v>133</v>
      </c>
      <c r="B68" s="15">
        <f>'Dług i WACC'!B8</f>
        <v>67876</v>
      </c>
      <c r="C68" s="15">
        <f>'Dług i WACC'!C8</f>
        <v>46621</v>
      </c>
      <c r="D68" s="15">
        <f>'Dług i WACC'!D8</f>
        <v>34673</v>
      </c>
      <c r="E68" s="15">
        <f>'Dług i WACC'!E8</f>
        <v>35612</v>
      </c>
      <c r="F68" s="15">
        <f>'Dług i WACC'!F8</f>
        <v>60818</v>
      </c>
      <c r="G68" s="15">
        <f>'Dług i WACC'!G8</f>
        <v>87851</v>
      </c>
      <c r="H68" s="16">
        <f>'Dług i WACC'!H8</f>
        <v>111129.0077</v>
      </c>
      <c r="I68" s="16">
        <f>'Dług i WACC'!I8</f>
        <v>137204.76917000001</v>
      </c>
      <c r="J68" s="16">
        <f>'Dług i WACC'!J8</f>
        <v>165627.34917230002</v>
      </c>
      <c r="K68" s="16">
        <f>'Dług i WACC'!K8</f>
        <v>196323.73557478405</v>
      </c>
      <c r="L68" s="16">
        <f>'Dług i WACC'!L8</f>
        <v>229168.86902544193</v>
      </c>
    </row>
    <row r="69" spans="1:12">
      <c r="A69" s="2" t="s">
        <v>224</v>
      </c>
      <c r="B69" s="15">
        <f>'Dług i WACC'!B10</f>
        <v>419936</v>
      </c>
      <c r="C69" s="15">
        <f>'Dług i WACC'!C10</f>
        <v>450000</v>
      </c>
      <c r="D69" s="15">
        <f>'Dług i WACC'!D10</f>
        <v>370000</v>
      </c>
      <c r="E69" s="15">
        <f>'Dług i WACC'!E10</f>
        <v>370000</v>
      </c>
      <c r="F69" s="15">
        <f>'Dług i WACC'!F10</f>
        <v>170000</v>
      </c>
      <c r="G69" s="15">
        <f>'Dług i WACC'!G10</f>
        <v>0</v>
      </c>
      <c r="H69" s="16">
        <f>'Dług i WACC'!H10</f>
        <v>1411.5</v>
      </c>
      <c r="I69" s="16">
        <f>'Dług i WACC'!I10</f>
        <v>1411.5</v>
      </c>
      <c r="J69" s="16">
        <f>'Dług i WACC'!J10</f>
        <v>1411.5</v>
      </c>
      <c r="K69" s="16">
        <f>'Dług i WACC'!K10</f>
        <v>1411.5</v>
      </c>
      <c r="L69" s="16">
        <f>'Dług i WACC'!L10</f>
        <v>1411.5</v>
      </c>
    </row>
    <row r="70" spans="1:12">
      <c r="A70" s="2" t="s">
        <v>136</v>
      </c>
      <c r="B70" s="15">
        <f>'Dane źródłowe'!B46+'Dane źródłowe'!B47</f>
        <v>180</v>
      </c>
      <c r="C70" s="15">
        <f>'Dane źródłowe'!C46+'Dane źródłowe'!C47</f>
        <v>150</v>
      </c>
      <c r="D70" s="15">
        <f>'Dane źródłowe'!D46+'Dane źródłowe'!D47</f>
        <v>120</v>
      </c>
      <c r="E70" s="15">
        <f>'Dane źródłowe'!E46+'Dane źródłowe'!E47</f>
        <v>90</v>
      </c>
      <c r="F70" s="15">
        <f>'Dane źródłowe'!F46+'Dane źródłowe'!F47</f>
        <v>22996</v>
      </c>
      <c r="G70" s="15">
        <f>'Dane źródłowe'!G46+'Dane źródłowe'!G47</f>
        <v>11610</v>
      </c>
      <c r="H70" s="16">
        <f>G70</f>
        <v>11610</v>
      </c>
      <c r="I70" s="16">
        <f>H70</f>
        <v>11610</v>
      </c>
      <c r="J70" s="16">
        <f>I70</f>
        <v>11610</v>
      </c>
      <c r="K70" s="16">
        <f>J70</f>
        <v>11610</v>
      </c>
      <c r="L70" s="16">
        <f>K70</f>
        <v>11610</v>
      </c>
    </row>
    <row r="71" spans="1:12">
      <c r="A71" s="2" t="s">
        <v>225</v>
      </c>
      <c r="B71" s="15">
        <f>'Dane źródłowe'!B48</f>
        <v>2844</v>
      </c>
      <c r="C71" s="15">
        <f>'Dane źródłowe'!C48</f>
        <v>4827</v>
      </c>
      <c r="D71" s="15">
        <f>'Dane źródłowe'!D48</f>
        <v>5794</v>
      </c>
      <c r="E71" s="15">
        <f>'Dane źródłowe'!E48</f>
        <v>10900</v>
      </c>
      <c r="F71" s="15">
        <f>'Dane źródłowe'!F48</f>
        <v>14142</v>
      </c>
      <c r="G71" s="15">
        <f>'Dane źródłowe'!G48</f>
        <v>18041</v>
      </c>
      <c r="H71" s="16">
        <f>G71*(1+Założenia!B27)</f>
        <v>18762.64</v>
      </c>
      <c r="I71" s="16">
        <f>H71*(1+Założenia!C27)</f>
        <v>19419.332399999999</v>
      </c>
      <c r="J71" s="16">
        <f>I71*(1+Założenia!D27)</f>
        <v>20001.912371999999</v>
      </c>
      <c r="K71" s="16">
        <f>J71*(1+Założenia!E27)</f>
        <v>20551.964962230002</v>
      </c>
      <c r="L71" s="16">
        <f>K71*(1+Założenia!F27)</f>
        <v>21065.764086285752</v>
      </c>
    </row>
    <row r="72" spans="1:12">
      <c r="A72" s="2" t="s">
        <v>226</v>
      </c>
      <c r="B72" s="15">
        <f>'Dane źródłowe'!B49</f>
        <v>6555</v>
      </c>
      <c r="C72" s="15">
        <f>'Dane źródłowe'!C49</f>
        <v>8187</v>
      </c>
      <c r="D72" s="15">
        <f>'Dane źródłowe'!D49</f>
        <v>7700</v>
      </c>
      <c r="E72" s="15">
        <f>'Dane źródłowe'!E49</f>
        <v>6880</v>
      </c>
      <c r="F72" s="15">
        <f>'Dane źródłowe'!F49</f>
        <v>30336</v>
      </c>
      <c r="G72" s="15">
        <f>'Dane źródłowe'!G49</f>
        <v>4609</v>
      </c>
      <c r="H72" s="16">
        <f t="shared" ref="H72:L73" si="28">G72</f>
        <v>4609</v>
      </c>
      <c r="I72" s="16">
        <f t="shared" si="28"/>
        <v>4609</v>
      </c>
      <c r="J72" s="16">
        <f t="shared" si="28"/>
        <v>4609</v>
      </c>
      <c r="K72" s="16">
        <f t="shared" si="28"/>
        <v>4609</v>
      </c>
      <c r="L72" s="16">
        <f t="shared" si="28"/>
        <v>4609</v>
      </c>
    </row>
    <row r="73" spans="1:12">
      <c r="A73" s="2" t="s">
        <v>227</v>
      </c>
      <c r="B73" s="15">
        <f>'Dane źródłowe'!B50</f>
        <v>14</v>
      </c>
      <c r="C73" s="15">
        <f>'Dane źródłowe'!C50</f>
        <v>5</v>
      </c>
      <c r="D73" s="15">
        <f>'Dane źródłowe'!D50</f>
        <v>0</v>
      </c>
      <c r="E73" s="15">
        <f>'Dane źródłowe'!E50</f>
        <v>0</v>
      </c>
      <c r="F73" s="15">
        <f>'Dane źródłowe'!F50</f>
        <v>0</v>
      </c>
      <c r="G73" s="15">
        <f>'Dane źródłowe'!G50</f>
        <v>0</v>
      </c>
      <c r="H73" s="16">
        <f t="shared" si="28"/>
        <v>0</v>
      </c>
      <c r="I73" s="16">
        <f t="shared" si="28"/>
        <v>0</v>
      </c>
      <c r="J73" s="16">
        <f t="shared" si="28"/>
        <v>0</v>
      </c>
      <c r="K73" s="16">
        <f t="shared" si="28"/>
        <v>0</v>
      </c>
      <c r="L73" s="16">
        <f t="shared" si="28"/>
        <v>0</v>
      </c>
    </row>
    <row r="74" spans="1:12">
      <c r="A74" s="17" t="s">
        <v>140</v>
      </c>
      <c r="B74" s="35">
        <f t="shared" ref="B74:L74" si="29">SUM(B67:B73)</f>
        <v>1223256</v>
      </c>
      <c r="C74" s="35">
        <f t="shared" si="29"/>
        <v>1092804</v>
      </c>
      <c r="D74" s="35">
        <f t="shared" si="29"/>
        <v>1109149</v>
      </c>
      <c r="E74" s="35">
        <f t="shared" si="29"/>
        <v>893111</v>
      </c>
      <c r="F74" s="35">
        <f t="shared" si="29"/>
        <v>570511</v>
      </c>
      <c r="G74" s="35">
        <f t="shared" si="29"/>
        <v>434972</v>
      </c>
      <c r="H74" s="36">
        <f t="shared" si="29"/>
        <v>457589.43770000001</v>
      </c>
      <c r="I74" s="36">
        <f t="shared" si="29"/>
        <v>477621.89157000004</v>
      </c>
      <c r="J74" s="36">
        <f t="shared" si="29"/>
        <v>499927.05154429999</v>
      </c>
      <c r="K74" s="36">
        <f t="shared" si="29"/>
        <v>524473.49053701409</v>
      </c>
      <c r="L74" s="36">
        <f t="shared" si="29"/>
        <v>551132.42311172758</v>
      </c>
    </row>
    <row r="75" spans="1:12">
      <c r="A75" s="2" t="s">
        <v>141</v>
      </c>
      <c r="B75" s="15">
        <f>'Dane źródłowe'!B52</f>
        <v>1695163</v>
      </c>
      <c r="C75" s="15">
        <f>'Dane źródłowe'!C52</f>
        <v>2454051</v>
      </c>
      <c r="D75" s="15">
        <f>'Dane źródłowe'!D52</f>
        <v>2651049</v>
      </c>
      <c r="E75" s="15">
        <f>'Dane źródłowe'!E52</f>
        <v>3095968</v>
      </c>
      <c r="F75" s="15">
        <f>'Dane źródłowe'!F52</f>
        <v>4362006</v>
      </c>
      <c r="G75" s="15">
        <f>'Dane źródłowe'!G52</f>
        <v>5194539</v>
      </c>
      <c r="H75" s="16">
        <f>H6*($G$75/$G$6)</f>
        <v>6169553.9703000011</v>
      </c>
      <c r="I75" s="16">
        <f t="shared" ref="I75:L75" si="30">I6*($G$75/$G$6)</f>
        <v>7180126.9106351426</v>
      </c>
      <c r="J75" s="16">
        <f t="shared" si="30"/>
        <v>8264613.2792174742</v>
      </c>
      <c r="K75" s="16">
        <f t="shared" si="30"/>
        <v>9407774.5879988372</v>
      </c>
      <c r="L75" s="16">
        <f t="shared" si="30"/>
        <v>10589767.38723501</v>
      </c>
    </row>
    <row r="76" spans="1:12">
      <c r="A76" s="2" t="s">
        <v>142</v>
      </c>
      <c r="B76" s="15">
        <f>'Dług i WACC'!B7</f>
        <v>216868</v>
      </c>
      <c r="C76" s="15">
        <f>'Dług i WACC'!C7</f>
        <v>196169</v>
      </c>
      <c r="D76" s="15">
        <f>'Dług i WACC'!D7</f>
        <v>410157</v>
      </c>
      <c r="E76" s="15">
        <f>'Dług i WACC'!E7</f>
        <v>278588</v>
      </c>
      <c r="F76" s="15">
        <f>'Dług i WACC'!F7</f>
        <v>361034</v>
      </c>
      <c r="G76" s="15">
        <f>'Dług i WACC'!G7</f>
        <v>159926</v>
      </c>
      <c r="H76" s="16">
        <f>'Dług i WACC'!H7</f>
        <v>152719.71000000002</v>
      </c>
      <c r="I76" s="16">
        <f>'Dług i WACC'!I7</f>
        <v>149419.71000000002</v>
      </c>
      <c r="J76" s="16">
        <f>'Dług i WACC'!J7</f>
        <v>146119.71000000002</v>
      </c>
      <c r="K76" s="16">
        <f>'Dług i WACC'!K7</f>
        <v>142819.71000000002</v>
      </c>
      <c r="L76" s="16">
        <f>'Dług i WACC'!L7</f>
        <v>139519.71000000002</v>
      </c>
    </row>
    <row r="77" spans="1:12">
      <c r="A77" s="2" t="s">
        <v>143</v>
      </c>
      <c r="B77" s="15">
        <f>'Dług i WACC'!B9</f>
        <v>42249</v>
      </c>
      <c r="C77" s="15">
        <f>'Dług i WACC'!C9</f>
        <v>27721</v>
      </c>
      <c r="D77" s="15">
        <f>'Dług i WACC'!D9</f>
        <v>17893</v>
      </c>
      <c r="E77" s="15">
        <f>'Dług i WACC'!E9</f>
        <v>14565</v>
      </c>
      <c r="F77" s="15">
        <f>'Dług i WACC'!F9</f>
        <v>17900</v>
      </c>
      <c r="G77" s="15">
        <f>'Dług i WACC'!G9</f>
        <v>22812</v>
      </c>
      <c r="H77" s="16">
        <f>'Dług i WACC'!H9</f>
        <v>29540.622299999999</v>
      </c>
      <c r="I77" s="16">
        <f>'Dług i WACC'!I9</f>
        <v>36472.153830000003</v>
      </c>
      <c r="J77" s="16">
        <f>'Dług i WACC'!J9</f>
        <v>44027.5231977</v>
      </c>
      <c r="K77" s="16">
        <f>'Dług i WACC'!K9</f>
        <v>52187.322114816008</v>
      </c>
      <c r="L77" s="16">
        <f>'Dług i WACC'!L9</f>
        <v>60918.306956130131</v>
      </c>
    </row>
    <row r="78" spans="1:12">
      <c r="A78" s="2" t="s">
        <v>228</v>
      </c>
      <c r="B78" s="15">
        <f>'Dług i WACC'!B11</f>
        <v>930</v>
      </c>
      <c r="C78" s="15">
        <f>'Dług i WACC'!C11</f>
        <v>171642</v>
      </c>
      <c r="D78" s="15">
        <f>'Dług i WACC'!D11</f>
        <v>260947</v>
      </c>
      <c r="E78" s="15">
        <f>'Dług i WACC'!E11</f>
        <v>4784</v>
      </c>
      <c r="F78" s="15">
        <f>'Dług i WACC'!F11</f>
        <v>204845</v>
      </c>
      <c r="G78" s="15">
        <f>'Dług i WACC'!G11</f>
        <v>171882</v>
      </c>
      <c r="H78" s="16">
        <f>'Dług i WACC'!H11</f>
        <v>470.5</v>
      </c>
      <c r="I78" s="16">
        <f>'Dług i WACC'!I11</f>
        <v>470.5</v>
      </c>
      <c r="J78" s="16">
        <f>'Dług i WACC'!J11</f>
        <v>470.5</v>
      </c>
      <c r="K78" s="16">
        <f>'Dług i WACC'!K11</f>
        <v>470.5</v>
      </c>
      <c r="L78" s="16">
        <f>'Dług i WACC'!L11</f>
        <v>470.5</v>
      </c>
    </row>
    <row r="79" spans="1:12">
      <c r="A79" s="2" t="s">
        <v>229</v>
      </c>
      <c r="B79" s="15">
        <f>'Dane źródłowe'!B56</f>
        <v>1332</v>
      </c>
      <c r="C79" s="15">
        <f>'Dane źródłowe'!C56</f>
        <v>1944</v>
      </c>
      <c r="D79" s="15">
        <f>'Dane źródłowe'!D56</f>
        <v>229660</v>
      </c>
      <c r="E79" s="15">
        <f>'Dane źródłowe'!E56</f>
        <v>307273</v>
      </c>
      <c r="F79" s="15">
        <f>'Dane źródłowe'!F56</f>
        <v>382575</v>
      </c>
      <c r="G79" s="15">
        <f>'Dane źródłowe'!G56</f>
        <v>464694</v>
      </c>
      <c r="H79" s="16">
        <f>G79*(1+Założenia!B27+H7)</f>
        <v>570504.82380000013</v>
      </c>
      <c r="I79" s="16">
        <f>H79*(1+Założenia!C27+I7)</f>
        <v>683921.18277144025</v>
      </c>
      <c r="J79" s="16">
        <f>I79*(1+Założenia!D27+J7)</f>
        <v>807738.27370038186</v>
      </c>
      <c r="K79" s="16">
        <f>J79*(1+Założenia!E27+K7)</f>
        <v>941677.43424537941</v>
      </c>
      <c r="L79" s="16">
        <f>K79*(1+Założenia!F27+L7)</f>
        <v>1083531.7229401032</v>
      </c>
    </row>
    <row r="80" spans="1:12">
      <c r="A80" s="2" t="s">
        <v>146</v>
      </c>
      <c r="B80" s="15">
        <f>'Dane źródłowe'!B57</f>
        <v>80509</v>
      </c>
      <c r="C80" s="15">
        <f>'Dane źródłowe'!C57</f>
        <v>93017</v>
      </c>
      <c r="D80" s="15">
        <f>'Dane źródłowe'!D57</f>
        <v>120034</v>
      </c>
      <c r="E80" s="15">
        <f>'Dane źródłowe'!E57</f>
        <v>176736</v>
      </c>
      <c r="F80" s="15">
        <f>'Dane źródłowe'!F57</f>
        <v>50612</v>
      </c>
      <c r="G80" s="15">
        <f>'Dane źródłowe'!G57</f>
        <v>47605</v>
      </c>
      <c r="H80" s="16">
        <f>G80*(1+Założenia!B27)</f>
        <v>49509.200000000004</v>
      </c>
      <c r="I80" s="16">
        <f>H80*(1+Założenia!C27)</f>
        <v>51242.021999999997</v>
      </c>
      <c r="J80" s="16">
        <f>I80*(1+Założenia!D27)</f>
        <v>52779.282659999997</v>
      </c>
      <c r="K80" s="16">
        <f>J80*(1+Założenia!E27)</f>
        <v>54230.712933150004</v>
      </c>
      <c r="L80" s="16">
        <f>K80*(1+Założenia!F27)</f>
        <v>55586.480756478748</v>
      </c>
    </row>
    <row r="81" spans="1:12">
      <c r="A81" s="2" t="s">
        <v>147</v>
      </c>
      <c r="B81" s="15">
        <f>'Dane źródłowe'!B58</f>
        <v>43640</v>
      </c>
      <c r="C81" s="15">
        <f>'Dane źródłowe'!C58</f>
        <v>60993</v>
      </c>
      <c r="D81" s="15">
        <f>'Dane źródłowe'!D58</f>
        <v>387</v>
      </c>
      <c r="E81" s="15">
        <f>'Dane źródłowe'!E58</f>
        <v>1379</v>
      </c>
      <c r="F81" s="15">
        <f>'Dane źródłowe'!F58</f>
        <v>3877</v>
      </c>
      <c r="G81" s="15">
        <f>'Dane źródłowe'!G58</f>
        <v>3737</v>
      </c>
      <c r="H81" s="16">
        <f>G81*(1+Założenia!B27)</f>
        <v>3886.48</v>
      </c>
      <c r="I81" s="16">
        <f>H81*(1+Założenia!C27)</f>
        <v>4022.5067999999997</v>
      </c>
      <c r="J81" s="16">
        <f>I81*(1+Założenia!D27)</f>
        <v>4143.1820039999993</v>
      </c>
      <c r="K81" s="16">
        <f>J81*(1+Założenia!E27)</f>
        <v>4257.1195091099999</v>
      </c>
      <c r="L81" s="16">
        <f>K81*(1+Założenia!F27)</f>
        <v>4363.5474968377493</v>
      </c>
    </row>
    <row r="82" spans="1:12">
      <c r="A82" s="2" t="s">
        <v>230</v>
      </c>
      <c r="B82" s="15">
        <f>'Dane źródłowe'!B59-SUM(B75:B81)</f>
        <v>0</v>
      </c>
      <c r="C82" s="15">
        <f>'Dane źródłowe'!C59-SUM(C75:C81)</f>
        <v>0</v>
      </c>
      <c r="D82" s="15">
        <f>'Dane źródłowe'!D59-SUM(D75:D81)</f>
        <v>0</v>
      </c>
      <c r="E82" s="15">
        <f>'Dane źródłowe'!E59-SUM(E75:E81)</f>
        <v>0</v>
      </c>
      <c r="F82" s="15">
        <f>'Dane źródłowe'!F59-SUM(F75:F81)</f>
        <v>0</v>
      </c>
      <c r="G82" s="15">
        <f>'Dane źródłowe'!G59-SUM(G75:G81)</f>
        <v>0</v>
      </c>
      <c r="H82" s="16">
        <f>H58-H65-H74-SUM(H75:H81)</f>
        <v>-695356.77710959036</v>
      </c>
      <c r="I82" s="16">
        <f>I58-I65-I74-SUM(I75:I81)</f>
        <v>-695940.41470958758</v>
      </c>
      <c r="J82" s="16">
        <f>J58-J65-J74-SUM(J75:J81)</f>
        <v>-696458.18463758752</v>
      </c>
      <c r="K82" s="16">
        <f>K58-K65-K74-SUM(K75:K81)</f>
        <v>-696947.04574460723</v>
      </c>
      <c r="L82" s="16">
        <f>L58-L65-L74-SUM(L75:L81)</f>
        <v>-697403.68646048941</v>
      </c>
    </row>
    <row r="83" spans="1:12">
      <c r="A83" s="17" t="s">
        <v>148</v>
      </c>
      <c r="B83" s="35">
        <f t="shared" ref="B83:L83" si="31">SUM(B75:B82)</f>
        <v>2080691</v>
      </c>
      <c r="C83" s="35">
        <f t="shared" si="31"/>
        <v>3005537</v>
      </c>
      <c r="D83" s="35">
        <f t="shared" si="31"/>
        <v>3690127</v>
      </c>
      <c r="E83" s="35">
        <f t="shared" si="31"/>
        <v>3879293</v>
      </c>
      <c r="F83" s="35">
        <f t="shared" si="31"/>
        <v>5382849</v>
      </c>
      <c r="G83" s="35">
        <f t="shared" si="31"/>
        <v>6065195</v>
      </c>
      <c r="H83" s="36">
        <f t="shared" si="31"/>
        <v>6280828.5292904116</v>
      </c>
      <c r="I83" s="36">
        <f t="shared" si="31"/>
        <v>7409734.5713269953</v>
      </c>
      <c r="J83" s="36">
        <f t="shared" si="31"/>
        <v>8623433.5661419686</v>
      </c>
      <c r="K83" s="36">
        <f t="shared" si="31"/>
        <v>9906470.3410566859</v>
      </c>
      <c r="L83" s="36">
        <f t="shared" si="31"/>
        <v>11236753.968924074</v>
      </c>
    </row>
    <row r="84" spans="1:12">
      <c r="A84" s="17" t="s">
        <v>149</v>
      </c>
      <c r="B84" s="35">
        <f t="shared" ref="B84:L84" si="32">SUM(B74,B83)</f>
        <v>3303947</v>
      </c>
      <c r="C84" s="35">
        <f t="shared" si="32"/>
        <v>4098341</v>
      </c>
      <c r="D84" s="35">
        <f t="shared" si="32"/>
        <v>4799276</v>
      </c>
      <c r="E84" s="35">
        <f t="shared" si="32"/>
        <v>4772404</v>
      </c>
      <c r="F84" s="35">
        <f t="shared" si="32"/>
        <v>5953360</v>
      </c>
      <c r="G84" s="35">
        <f t="shared" si="32"/>
        <v>6500167</v>
      </c>
      <c r="H84" s="36">
        <f t="shared" si="32"/>
        <v>6738417.9669904113</v>
      </c>
      <c r="I84" s="36">
        <f t="shared" si="32"/>
        <v>7887356.4628969952</v>
      </c>
      <c r="J84" s="36">
        <f t="shared" si="32"/>
        <v>9123360.6176862679</v>
      </c>
      <c r="K84" s="36">
        <f t="shared" si="32"/>
        <v>10430943.8315937</v>
      </c>
      <c r="L84" s="36">
        <f t="shared" si="32"/>
        <v>11787886.392035801</v>
      </c>
    </row>
    <row r="85" spans="1:12">
      <c r="A85" s="17" t="s">
        <v>231</v>
      </c>
      <c r="B85" s="35">
        <f t="shared" ref="B85:L85" si="33">B65+B84</f>
        <v>5570510</v>
      </c>
      <c r="C85" s="35">
        <f t="shared" si="33"/>
        <v>7168531</v>
      </c>
      <c r="D85" s="35">
        <f t="shared" si="33"/>
        <v>9003059</v>
      </c>
      <c r="E85" s="35">
        <f t="shared" si="33"/>
        <v>10377715</v>
      </c>
      <c r="F85" s="35">
        <f t="shared" si="33"/>
        <v>13055794</v>
      </c>
      <c r="G85" s="35">
        <f t="shared" si="33"/>
        <v>15171280</v>
      </c>
      <c r="H85" s="36">
        <f t="shared" si="33"/>
        <v>16966967.528121263</v>
      </c>
      <c r="I85" s="36">
        <f t="shared" si="33"/>
        <v>19924284.667624481</v>
      </c>
      <c r="J85" s="36">
        <f t="shared" si="33"/>
        <v>23249777.133526135</v>
      </c>
      <c r="K85" s="36">
        <f t="shared" si="33"/>
        <v>26945570.738279566</v>
      </c>
      <c r="L85" s="36">
        <f t="shared" si="33"/>
        <v>30947050.112265728</v>
      </c>
    </row>
    <row r="86" spans="1:12">
      <c r="A86" s="17" t="s">
        <v>232</v>
      </c>
      <c r="B86" s="35">
        <f t="shared" ref="B86:L86" si="34">B58-B85</f>
        <v>0</v>
      </c>
      <c r="C86" s="35">
        <f t="shared" si="34"/>
        <v>0</v>
      </c>
      <c r="D86" s="35">
        <f t="shared" si="34"/>
        <v>0</v>
      </c>
      <c r="E86" s="35">
        <f t="shared" si="34"/>
        <v>0</v>
      </c>
      <c r="F86" s="35">
        <f t="shared" si="34"/>
        <v>0</v>
      </c>
      <c r="G86" s="35">
        <f t="shared" si="34"/>
        <v>0</v>
      </c>
      <c r="H86" s="36">
        <f t="shared" si="34"/>
        <v>0</v>
      </c>
      <c r="I86" s="36">
        <f t="shared" si="34"/>
        <v>0</v>
      </c>
      <c r="J86" s="36">
        <f t="shared" si="34"/>
        <v>0</v>
      </c>
      <c r="K86" s="36">
        <f t="shared" si="34"/>
        <v>0</v>
      </c>
      <c r="L86" s="36">
        <f t="shared" si="34"/>
        <v>0</v>
      </c>
    </row>
    <row r="87" spans="1:12">
      <c r="A87" s="17" t="s">
        <v>233</v>
      </c>
      <c r="B87" s="35">
        <f t="shared" ref="B87:L87" si="35">B44-B43-B42</f>
        <v>0</v>
      </c>
      <c r="C87" s="35">
        <f t="shared" si="35"/>
        <v>0</v>
      </c>
      <c r="D87" s="35">
        <f t="shared" si="35"/>
        <v>0</v>
      </c>
      <c r="E87" s="35">
        <f t="shared" si="35"/>
        <v>0</v>
      </c>
      <c r="F87" s="35">
        <f t="shared" si="35"/>
        <v>0</v>
      </c>
      <c r="G87" s="35">
        <f t="shared" si="35"/>
        <v>0</v>
      </c>
      <c r="H87" s="36">
        <f t="shared" si="35"/>
        <v>0</v>
      </c>
      <c r="I87" s="36">
        <f t="shared" si="35"/>
        <v>0</v>
      </c>
      <c r="J87" s="36">
        <f t="shared" si="35"/>
        <v>0</v>
      </c>
      <c r="K87" s="36">
        <f t="shared" si="35"/>
        <v>0</v>
      </c>
      <c r="L87" s="36">
        <f t="shared" si="35"/>
        <v>0</v>
      </c>
    </row>
    <row r="88" spans="1:12">
      <c r="A88" s="17" t="s">
        <v>234</v>
      </c>
      <c r="B88" s="35">
        <f t="shared" ref="B88:L88" si="36">SUM(B67,B68,B69,B76,B77,B78)</f>
        <v>1473710</v>
      </c>
      <c r="C88" s="35">
        <f t="shared" si="36"/>
        <v>1475167</v>
      </c>
      <c r="D88" s="35">
        <f t="shared" si="36"/>
        <v>1784532</v>
      </c>
      <c r="E88" s="35">
        <f t="shared" si="36"/>
        <v>1173178</v>
      </c>
      <c r="F88" s="35">
        <f t="shared" si="36"/>
        <v>1086816</v>
      </c>
      <c r="G88" s="35">
        <f t="shared" si="36"/>
        <v>755332</v>
      </c>
      <c r="H88" s="36">
        <f t="shared" si="36"/>
        <v>605338.63</v>
      </c>
      <c r="I88" s="36">
        <f t="shared" si="36"/>
        <v>628345.92299999995</v>
      </c>
      <c r="J88" s="36">
        <f t="shared" si="36"/>
        <v>654323.87237</v>
      </c>
      <c r="K88" s="36">
        <f t="shared" si="36"/>
        <v>683180.05768960004</v>
      </c>
      <c r="L88" s="36">
        <f t="shared" si="36"/>
        <v>714756.17598157201</v>
      </c>
    </row>
    <row r="89" spans="1:12">
      <c r="A89" s="17" t="s">
        <v>235</v>
      </c>
      <c r="B89" s="35">
        <f t="shared" ref="B89:L89" si="37">B88-B56</f>
        <v>993292</v>
      </c>
      <c r="C89" s="35">
        <f t="shared" si="37"/>
        <v>1056552</v>
      </c>
      <c r="D89" s="35">
        <f t="shared" si="37"/>
        <v>1401814</v>
      </c>
      <c r="E89" s="35">
        <f t="shared" si="37"/>
        <v>954789</v>
      </c>
      <c r="F89" s="35">
        <f t="shared" si="37"/>
        <v>195794</v>
      </c>
      <c r="G89" s="35">
        <f t="shared" si="37"/>
        <v>-199482</v>
      </c>
      <c r="H89" s="36">
        <f t="shared" si="37"/>
        <v>428014.29852494271</v>
      </c>
      <c r="I89" s="36">
        <f t="shared" si="37"/>
        <v>258310.3222048133</v>
      </c>
      <c r="J89" s="36">
        <f t="shared" si="37"/>
        <v>-79860.281256919727</v>
      </c>
      <c r="K89" s="36">
        <f t="shared" si="37"/>
        <v>-628056.6666594554</v>
      </c>
      <c r="L89" s="36">
        <f t="shared" si="37"/>
        <v>-1372666.3681771224</v>
      </c>
    </row>
    <row r="90" spans="1:12">
      <c r="A90" s="17" t="s">
        <v>236</v>
      </c>
      <c r="B90" s="35">
        <f>SUM(B51:B54)-B75-B79-B81-B80</f>
        <v>-785306</v>
      </c>
      <c r="C90" s="35">
        <f t="shared" ref="C90:L90" si="38">SUM(C51:C54)-C75-C79-C81-C80</f>
        <v>-1044763</v>
      </c>
      <c r="D90" s="35">
        <f t="shared" si="38"/>
        <v>-678384</v>
      </c>
      <c r="E90" s="35">
        <f t="shared" si="38"/>
        <v>-547956</v>
      </c>
      <c r="F90" s="35">
        <f t="shared" si="38"/>
        <v>-1252740</v>
      </c>
      <c r="G90" s="35">
        <f t="shared" si="38"/>
        <v>-1695364</v>
      </c>
      <c r="H90" s="35">
        <f t="shared" si="38"/>
        <v>-2042721.708554795</v>
      </c>
      <c r="I90" s="35">
        <f t="shared" si="38"/>
        <v>-2403145.0481610699</v>
      </c>
      <c r="J90" s="35">
        <f t="shared" si="38"/>
        <v>-2792331.3124567969</v>
      </c>
      <c r="K90" s="35">
        <f t="shared" si="38"/>
        <v>-3206152.4022583822</v>
      </c>
      <c r="L90" s="35">
        <f t="shared" si="38"/>
        <v>-3637528.9617129504</v>
      </c>
    </row>
  </sheetData>
  <mergeCells count="7">
    <mergeCell ref="A59:L59"/>
    <mergeCell ref="A66:L66"/>
    <mergeCell ref="A1:L1"/>
    <mergeCell ref="A2:L2"/>
    <mergeCell ref="A5:L5"/>
    <mergeCell ref="A30:L30"/>
    <mergeCell ref="A45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8"/>
  <sheetViews>
    <sheetView showGridLines="0" topLeftCell="A11" zoomScale="79" workbookViewId="0">
      <selection activeCell="H38" sqref="H38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64" t="s">
        <v>237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0" customHeight="1">
      <c r="A2" s="70" t="s">
        <v>238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6" t="s">
        <v>184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3</v>
      </c>
      <c r="I4" s="7" t="s">
        <v>19</v>
      </c>
      <c r="J4" s="7" t="s">
        <v>20</v>
      </c>
      <c r="K4" s="7" t="s">
        <v>21</v>
      </c>
      <c r="L4" s="7" t="s">
        <v>4</v>
      </c>
    </row>
    <row r="5" spans="1:12" ht="18" customHeight="1">
      <c r="A5" s="67" t="s">
        <v>239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</row>
    <row r="6" spans="1:12">
      <c r="A6" s="37" t="s">
        <v>132</v>
      </c>
      <c r="B6" s="15">
        <f>'Dane źródłowe'!B43</f>
        <v>725851</v>
      </c>
      <c r="C6" s="15">
        <f>'Dane źródłowe'!C43</f>
        <v>583014</v>
      </c>
      <c r="D6" s="15">
        <f>'Dane źródłowe'!D43</f>
        <v>690862</v>
      </c>
      <c r="E6" s="15">
        <f>'Dane źródłowe'!E43</f>
        <v>469629</v>
      </c>
      <c r="F6" s="15">
        <f>'Dane źródłowe'!F43</f>
        <v>272219</v>
      </c>
      <c r="G6" s="15">
        <f>'Dane źródłowe'!G43</f>
        <v>312861</v>
      </c>
      <c r="H6" s="16">
        <f>(G6+G7+Założenia!B44)*(1-Założenia!B45)</f>
        <v>310067.28999999998</v>
      </c>
      <c r="I6" s="16">
        <f>(H6+H7+Założenia!C44)*(1-Założenia!C45)</f>
        <v>303367.28999999998</v>
      </c>
      <c r="J6" s="16">
        <f>(I6+I7+Założenia!D44)*(1-Założenia!D45)</f>
        <v>296667.28999999998</v>
      </c>
      <c r="K6" s="16">
        <f>(J6+J7+Założenia!E44)*(1-Założenia!E45)</f>
        <v>289967.28999999998</v>
      </c>
      <c r="L6" s="16">
        <f>(K6+K7+Założenia!F44)*(1-Założenia!F45)</f>
        <v>283267.28999999998</v>
      </c>
    </row>
    <row r="7" spans="1:12">
      <c r="A7" s="37" t="s">
        <v>142</v>
      </c>
      <c r="B7" s="15">
        <f>'Dane źródłowe'!B53</f>
        <v>216868</v>
      </c>
      <c r="C7" s="15">
        <f>'Dane źródłowe'!C53</f>
        <v>196169</v>
      </c>
      <c r="D7" s="15">
        <f>'Dane źródłowe'!D53</f>
        <v>410157</v>
      </c>
      <c r="E7" s="15">
        <f>'Dane źródłowe'!E53</f>
        <v>278588</v>
      </c>
      <c r="F7" s="15">
        <f>'Dane źródłowe'!F53</f>
        <v>361034</v>
      </c>
      <c r="G7" s="15">
        <f>'Dane źródłowe'!G53</f>
        <v>159926</v>
      </c>
      <c r="H7" s="16">
        <f>(G6+G7+Założenia!B44)*Założenia!B45</f>
        <v>152719.71000000002</v>
      </c>
      <c r="I7" s="16">
        <f>(H6+H7+Założenia!C44)*Założenia!C45</f>
        <v>149419.71000000002</v>
      </c>
      <c r="J7" s="16">
        <f>(I6+I7+Założenia!D44)*Założenia!D45</f>
        <v>146119.71000000002</v>
      </c>
      <c r="K7" s="16">
        <f>(J6+J7+Założenia!E44)*Założenia!E45</f>
        <v>142819.71000000002</v>
      </c>
      <c r="L7" s="16">
        <f>(K6+K7+Założenia!F44)*Założenia!F45</f>
        <v>139519.71000000002</v>
      </c>
    </row>
    <row r="8" spans="1:12">
      <c r="A8" s="37" t="s">
        <v>133</v>
      </c>
      <c r="B8" s="15">
        <f>'Dane źródłowe'!B44</f>
        <v>67876</v>
      </c>
      <c r="C8" s="15">
        <f>'Dane źródłowe'!C44</f>
        <v>46621</v>
      </c>
      <c r="D8" s="15">
        <f>'Dane źródłowe'!D44</f>
        <v>34673</v>
      </c>
      <c r="E8" s="15">
        <f>'Dane źródłowe'!E44</f>
        <v>35612</v>
      </c>
      <c r="F8" s="15">
        <f>'Dane źródłowe'!F44</f>
        <v>60818</v>
      </c>
      <c r="G8" s="15">
        <f>'Dane źródłowe'!G44</f>
        <v>87851</v>
      </c>
      <c r="H8" s="16">
        <f>(G8+G9+Założenia!B46)*(1-Założenia!B47)</f>
        <v>111129.0077</v>
      </c>
      <c r="I8" s="16">
        <f>(H8+H9+Założenia!C46)*(1-Założenia!C47)</f>
        <v>137204.76917000001</v>
      </c>
      <c r="J8" s="16">
        <f>(I8+I9+Założenia!D46)*(1-Założenia!D47)</f>
        <v>165627.34917230002</v>
      </c>
      <c r="K8" s="16">
        <f>(J8+J9+Założenia!E46)*(1-Założenia!E47)</f>
        <v>196323.73557478405</v>
      </c>
      <c r="L8" s="16">
        <f>(K8+K9+Założenia!F46)*(1-Założenia!F47)</f>
        <v>229168.86902544193</v>
      </c>
    </row>
    <row r="9" spans="1:12">
      <c r="A9" s="37" t="s">
        <v>143</v>
      </c>
      <c r="B9" s="15">
        <f>'Dane źródłowe'!B54</f>
        <v>42249</v>
      </c>
      <c r="C9" s="15">
        <f>'Dane źródłowe'!C54</f>
        <v>27721</v>
      </c>
      <c r="D9" s="15">
        <f>'Dane źródłowe'!D54</f>
        <v>17893</v>
      </c>
      <c r="E9" s="15">
        <f>'Dane źródłowe'!E54</f>
        <v>14565</v>
      </c>
      <c r="F9" s="15">
        <f>'Dane źródłowe'!F54</f>
        <v>17900</v>
      </c>
      <c r="G9" s="15">
        <f>'Dane źródłowe'!G54</f>
        <v>22812</v>
      </c>
      <c r="H9" s="16">
        <f>(G8+G9+Założenia!B46)*Założenia!B47</f>
        <v>29540.622299999999</v>
      </c>
      <c r="I9" s="16">
        <f>(H8+H9+Założenia!C46)*Założenia!C47</f>
        <v>36472.153830000003</v>
      </c>
      <c r="J9" s="16">
        <f>(I8+I9+Założenia!D46)*Założenia!D47</f>
        <v>44027.5231977</v>
      </c>
      <c r="K9" s="16">
        <f>(J8+J9+Założenia!E46)*Założenia!E47</f>
        <v>52187.322114816008</v>
      </c>
      <c r="L9" s="16">
        <f>(K8+K9+Założenia!F46)*Założenia!F47</f>
        <v>60918.306956130131</v>
      </c>
    </row>
    <row r="10" spans="1:12">
      <c r="A10" s="37" t="s">
        <v>224</v>
      </c>
      <c r="B10" s="15">
        <f>'Dane źródłowe'!B45</f>
        <v>419936</v>
      </c>
      <c r="C10" s="15">
        <f>'Dane źródłowe'!C45</f>
        <v>450000</v>
      </c>
      <c r="D10" s="15">
        <f>'Dane źródłowe'!D45</f>
        <v>370000</v>
      </c>
      <c r="E10" s="15">
        <f>'Dane źródłowe'!E45</f>
        <v>370000</v>
      </c>
      <c r="F10" s="15">
        <f>'Dane źródłowe'!F45</f>
        <v>170000</v>
      </c>
      <c r="G10" s="15">
        <f>'Dane źródłowe'!G45</f>
        <v>0</v>
      </c>
      <c r="H10" s="16">
        <f>(G10+G11+Założenia!B48)*(1-Założenia!B49)</f>
        <v>1411.5</v>
      </c>
      <c r="I10" s="16">
        <f>(H10+H11+Założenia!C48)*(1-Założenia!C49)</f>
        <v>1411.5</v>
      </c>
      <c r="J10" s="16">
        <f>(I10+I11+Założenia!D48)*(1-Założenia!D49)</f>
        <v>1411.5</v>
      </c>
      <c r="K10" s="16">
        <f>(J10+J11+Założenia!E48)*(1-Założenia!E49)</f>
        <v>1411.5</v>
      </c>
      <c r="L10" s="16">
        <f>(K10+K11+Założenia!F48)*(1-Założenia!F49)</f>
        <v>1411.5</v>
      </c>
    </row>
    <row r="11" spans="1:12">
      <c r="A11" s="37" t="s">
        <v>228</v>
      </c>
      <c r="B11" s="15">
        <f>'Dane źródłowe'!B55</f>
        <v>930</v>
      </c>
      <c r="C11" s="15">
        <f>'Dane źródłowe'!C55</f>
        <v>171642</v>
      </c>
      <c r="D11" s="15">
        <f>'Dane źródłowe'!D55</f>
        <v>260947</v>
      </c>
      <c r="E11" s="15">
        <f>'Dane źródłowe'!E55</f>
        <v>4784</v>
      </c>
      <c r="F11" s="15">
        <f>'Dane źródłowe'!F55</f>
        <v>204845</v>
      </c>
      <c r="G11" s="15">
        <f>'Dane źródłowe'!G55</f>
        <v>171882</v>
      </c>
      <c r="H11" s="16">
        <f>(G10+G11+Założenia!B48)*Założenia!B49</f>
        <v>470.5</v>
      </c>
      <c r="I11" s="16">
        <f>(H10+H11+Założenia!C48)*Założenia!C49</f>
        <v>470.5</v>
      </c>
      <c r="J11" s="16">
        <f>(I10+I11+Założenia!D48)*Założenia!D49</f>
        <v>470.5</v>
      </c>
      <c r="K11" s="16">
        <f>(J10+J11+Założenia!E48)*Założenia!E49</f>
        <v>470.5</v>
      </c>
      <c r="L11" s="16">
        <f>(K10+K11+Założenia!F48)*Założenia!F49</f>
        <v>470.5</v>
      </c>
    </row>
    <row r="12" spans="1:12">
      <c r="A12" s="38" t="s">
        <v>234</v>
      </c>
      <c r="B12" s="35">
        <f t="shared" ref="B12:L12" si="0">SUM(B6:B11)</f>
        <v>1473710</v>
      </c>
      <c r="C12" s="35">
        <f t="shared" si="0"/>
        <v>1475167</v>
      </c>
      <c r="D12" s="35">
        <f t="shared" si="0"/>
        <v>1784532</v>
      </c>
      <c r="E12" s="35">
        <f t="shared" si="0"/>
        <v>1173178</v>
      </c>
      <c r="F12" s="35">
        <f t="shared" si="0"/>
        <v>1086816</v>
      </c>
      <c r="G12" s="35">
        <f t="shared" si="0"/>
        <v>755332</v>
      </c>
      <c r="H12" s="36">
        <f t="shared" si="0"/>
        <v>605338.63</v>
      </c>
      <c r="I12" s="36">
        <f t="shared" si="0"/>
        <v>628345.92299999995</v>
      </c>
      <c r="J12" s="36">
        <f t="shared" si="0"/>
        <v>654323.87237</v>
      </c>
      <c r="K12" s="36">
        <f t="shared" si="0"/>
        <v>683180.05768960004</v>
      </c>
      <c r="L12" s="36">
        <f t="shared" si="0"/>
        <v>714756.17598157201</v>
      </c>
    </row>
    <row r="13" spans="1:12">
      <c r="A13" s="37" t="s">
        <v>122</v>
      </c>
      <c r="B13" s="15">
        <f>'Model 3 sprawozdań'!B56</f>
        <v>480418</v>
      </c>
      <c r="C13" s="15">
        <f>'Model 3 sprawozdań'!C56</f>
        <v>418615</v>
      </c>
      <c r="D13" s="15">
        <f>'Model 3 sprawozdań'!D56</f>
        <v>382718</v>
      </c>
      <c r="E13" s="15">
        <f>'Model 3 sprawozdań'!E56</f>
        <v>218389</v>
      </c>
      <c r="F13" s="15">
        <f>'Model 3 sprawozdań'!F56</f>
        <v>891022</v>
      </c>
      <c r="G13" s="15">
        <f>'Model 3 sprawozdań'!G56</f>
        <v>954814</v>
      </c>
      <c r="H13" s="16">
        <f>'Model 3 sprawozdań'!H56</f>
        <v>177324.33147505729</v>
      </c>
      <c r="I13" s="16">
        <f>'Model 3 sprawozdań'!I56</f>
        <v>370035.60079518665</v>
      </c>
      <c r="J13" s="16">
        <f>'Model 3 sprawozdań'!J56</f>
        <v>734184.15362691972</v>
      </c>
      <c r="K13" s="16">
        <f>'Model 3 sprawozdań'!K56</f>
        <v>1311236.7243490554</v>
      </c>
      <c r="L13" s="16">
        <f>'Model 3 sprawozdań'!L56</f>
        <v>2087422.5441586946</v>
      </c>
    </row>
    <row r="14" spans="1:12">
      <c r="A14" s="38" t="s">
        <v>235</v>
      </c>
      <c r="B14" s="35">
        <f t="shared" ref="B14:L14" si="1">B12-B13</f>
        <v>993292</v>
      </c>
      <c r="C14" s="35">
        <f t="shared" si="1"/>
        <v>1056552</v>
      </c>
      <c r="D14" s="35">
        <f t="shared" si="1"/>
        <v>1401814</v>
      </c>
      <c r="E14" s="35">
        <f t="shared" si="1"/>
        <v>954789</v>
      </c>
      <c r="F14" s="35">
        <f t="shared" si="1"/>
        <v>195794</v>
      </c>
      <c r="G14" s="35">
        <f t="shared" si="1"/>
        <v>-199482</v>
      </c>
      <c r="H14" s="36">
        <f t="shared" si="1"/>
        <v>428014.29852494271</v>
      </c>
      <c r="I14" s="36">
        <f t="shared" si="1"/>
        <v>258310.3222048133</v>
      </c>
      <c r="J14" s="36">
        <f t="shared" si="1"/>
        <v>-79860.281256919727</v>
      </c>
      <c r="K14" s="36">
        <f t="shared" si="1"/>
        <v>-628056.6666594554</v>
      </c>
      <c r="L14" s="36">
        <f t="shared" si="1"/>
        <v>-1372666.3681771224</v>
      </c>
    </row>
    <row r="15" spans="1:12">
      <c r="A15" s="37" t="s">
        <v>240</v>
      </c>
      <c r="B15" s="44">
        <f>B12</f>
        <v>1473710</v>
      </c>
      <c r="C15" s="15">
        <f t="shared" ref="C15:L15" si="2">AVERAGE(B12,C12)</f>
        <v>1474438.5</v>
      </c>
      <c r="D15" s="15">
        <f t="shared" si="2"/>
        <v>1629849.5</v>
      </c>
      <c r="E15" s="15">
        <f t="shared" si="2"/>
        <v>1478855</v>
      </c>
      <c r="F15" s="15">
        <f t="shared" si="2"/>
        <v>1129997</v>
      </c>
      <c r="G15" s="15">
        <f t="shared" si="2"/>
        <v>921074</v>
      </c>
      <c r="H15" s="16">
        <f t="shared" si="2"/>
        <v>680335.31499999994</v>
      </c>
      <c r="I15" s="16">
        <f t="shared" si="2"/>
        <v>616842.27649999992</v>
      </c>
      <c r="J15" s="16">
        <f t="shared" si="2"/>
        <v>641334.89768499997</v>
      </c>
      <c r="K15" s="16">
        <f t="shared" si="2"/>
        <v>668751.96502980008</v>
      </c>
      <c r="L15" s="16">
        <f t="shared" si="2"/>
        <v>698968.11683558603</v>
      </c>
    </row>
    <row r="16" spans="1:12" ht="18" customHeight="1">
      <c r="A16" s="72" t="s">
        <v>241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</row>
    <row r="17" spans="1:12">
      <c r="A17" s="38" t="s">
        <v>242</v>
      </c>
      <c r="B17" s="35">
        <f>-'Dane źródłowe'!B14</f>
        <v>52096</v>
      </c>
      <c r="C17" s="35">
        <f>-'Dane źródłowe'!C14</f>
        <v>46703</v>
      </c>
      <c r="D17" s="35">
        <f>-'Dane źródłowe'!D14</f>
        <v>141293</v>
      </c>
      <c r="E17" s="35">
        <f>-'Dane źródłowe'!E14</f>
        <v>147316</v>
      </c>
      <c r="F17" s="35">
        <f>-'Dane źródłowe'!F14</f>
        <v>121424</v>
      </c>
      <c r="G17" s="35">
        <f>-'Dane źródłowe'!G14</f>
        <v>122945</v>
      </c>
      <c r="H17" s="40">
        <f>H20+H18+H19</f>
        <v>104763.40105</v>
      </c>
      <c r="I17" s="40">
        <f t="shared" ref="I17:L17" si="3">I20+I18+I19</f>
        <v>111044.05302830001</v>
      </c>
      <c r="J17" s="40">
        <f t="shared" si="3"/>
        <v>123874.83885493656</v>
      </c>
      <c r="K17" s="40">
        <f t="shared" si="3"/>
        <v>137723.38362347821</v>
      </c>
      <c r="L17" s="40">
        <f t="shared" si="3"/>
        <v>152413.28864647821</v>
      </c>
    </row>
    <row r="18" spans="1:12">
      <c r="A18" s="37" t="s">
        <v>201</v>
      </c>
      <c r="B18" s="43">
        <v>18139</v>
      </c>
      <c r="C18" s="43">
        <v>20434</v>
      </c>
      <c r="D18" s="43">
        <v>15839</v>
      </c>
      <c r="E18" s="43">
        <v>19600</v>
      </c>
      <c r="F18" s="43">
        <v>29836</v>
      </c>
      <c r="G18" s="43">
        <v>54614</v>
      </c>
      <c r="H18" s="16">
        <f>'Model 3 sprawozdań'!G75*Założenia!B51</f>
        <v>57139.928999999996</v>
      </c>
      <c r="I18" s="16">
        <f>'Model 3 sprawozdań'!H75*Założenia!C51</f>
        <v>67865.093673300013</v>
      </c>
      <c r="J18" s="16">
        <f>'Model 3 sprawozdań'!I75*Założenia!D51</f>
        <v>78981.39601698656</v>
      </c>
      <c r="K18" s="16">
        <f>'Model 3 sprawozdań'!J75*Założenia!E51</f>
        <v>90910.746071392205</v>
      </c>
      <c r="L18" s="16">
        <f>'Model 3 sprawozdań'!K75*Założenia!F51</f>
        <v>103485.5204679872</v>
      </c>
    </row>
    <row r="19" spans="1:12">
      <c r="A19" s="37" t="s">
        <v>243</v>
      </c>
      <c r="B19" s="43">
        <f>-SUM('Model 3 sprawozdań'!B23,'Model 3 sprawozdań'!B24)</f>
        <v>3578</v>
      </c>
      <c r="C19" s="43">
        <f>-SUM('Model 3 sprawozdań'!C23,'Model 3 sprawozdań'!C24)</f>
        <v>114</v>
      </c>
      <c r="D19" s="43">
        <f>-SUM('Model 3 sprawozdań'!D23,'Model 3 sprawozdań'!D24)</f>
        <v>622</v>
      </c>
      <c r="E19" s="43">
        <f>-SUM('Model 3 sprawozdań'!E23,'Model 3 sprawozdań'!E24)</f>
        <v>431</v>
      </c>
      <c r="F19" s="43">
        <f>-SUM('Model 3 sprawozdań'!F23,'Model 3 sprawozdań'!F24)</f>
        <v>631</v>
      </c>
      <c r="G19" s="43">
        <f>-SUM('Model 3 sprawozdań'!G23,'Model 3 sprawozdań'!G24)</f>
        <v>385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</row>
    <row r="20" spans="1:12">
      <c r="A20" s="37" t="s">
        <v>200</v>
      </c>
      <c r="B20" s="39">
        <f>B17-B18-B19</f>
        <v>30379</v>
      </c>
      <c r="C20" s="39">
        <f t="shared" ref="C20:G20" si="4">C17-C18-C19</f>
        <v>26155</v>
      </c>
      <c r="D20" s="39">
        <f t="shared" si="4"/>
        <v>124832</v>
      </c>
      <c r="E20" s="39">
        <f t="shared" si="4"/>
        <v>127285</v>
      </c>
      <c r="F20" s="39">
        <f t="shared" si="4"/>
        <v>90957</v>
      </c>
      <c r="G20" s="39">
        <f t="shared" si="4"/>
        <v>67946</v>
      </c>
      <c r="H20" s="16">
        <f>H15*Założenia!B50</f>
        <v>47623.472050000004</v>
      </c>
      <c r="I20" s="16">
        <f>I15*Założenia!C50</f>
        <v>43178.959354999999</v>
      </c>
      <c r="J20" s="16">
        <f>J15*Założenia!D50</f>
        <v>44893.442837950002</v>
      </c>
      <c r="K20" s="16">
        <f>K15*Założenia!E50</f>
        <v>46812.637552086009</v>
      </c>
      <c r="L20" s="16">
        <f>L15*Założenia!F50</f>
        <v>48927.768178491024</v>
      </c>
    </row>
    <row r="21" spans="1:12">
      <c r="A21" s="17" t="s">
        <v>244</v>
      </c>
      <c r="B21" s="19">
        <f>B20/B15</f>
        <v>2.0613960684259455E-2</v>
      </c>
      <c r="C21" s="19">
        <f t="shared" ref="C21:G21" si="5">C20/C15</f>
        <v>1.7738956219604956E-2</v>
      </c>
      <c r="D21" s="19">
        <f t="shared" si="5"/>
        <v>7.6591120836617121E-2</v>
      </c>
      <c r="E21" s="19">
        <f t="shared" si="5"/>
        <v>8.6069966291489025E-2</v>
      </c>
      <c r="F21" s="19">
        <f t="shared" si="5"/>
        <v>8.0493134052568277E-2</v>
      </c>
      <c r="G21" s="19">
        <f t="shared" si="5"/>
        <v>7.376823143417359E-2</v>
      </c>
      <c r="H21" s="20">
        <f>H20/H15</f>
        <v>7.0000000000000007E-2</v>
      </c>
      <c r="I21" s="20">
        <f t="shared" ref="I21:L21" si="6">I20/I15</f>
        <v>7.0000000000000007E-2</v>
      </c>
      <c r="J21" s="20">
        <f t="shared" si="6"/>
        <v>7.0000000000000007E-2</v>
      </c>
      <c r="K21" s="20">
        <f t="shared" si="6"/>
        <v>7.0000000000000007E-2</v>
      </c>
      <c r="L21" s="20">
        <f t="shared" si="6"/>
        <v>7.0000000000000007E-2</v>
      </c>
    </row>
    <row r="22" spans="1:12" ht="18" customHeight="1">
      <c r="A22" s="67" t="s">
        <v>245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1:12">
      <c r="A23" s="2" t="s">
        <v>246</v>
      </c>
      <c r="B23" s="26">
        <f>Założenia!B20</f>
        <v>200</v>
      </c>
      <c r="C23" s="26">
        <f>Założenia!C20</f>
        <v>300</v>
      </c>
      <c r="D23" s="26">
        <f>Założenia!D20</f>
        <v>330</v>
      </c>
      <c r="E23" s="26">
        <f>Założenia!E20</f>
        <v>420</v>
      </c>
      <c r="F23" s="26">
        <f>Założenia!F20</f>
        <v>400</v>
      </c>
      <c r="G23" s="26">
        <f>Założenia!G20</f>
        <v>41</v>
      </c>
      <c r="H23" s="27">
        <f>(H25-H14)/Założenia!$B$10</f>
        <v>39.459964955102052</v>
      </c>
      <c r="I23" s="27">
        <f>(I25-I14)/Założenia!$B$10</f>
        <v>46.920035588739395</v>
      </c>
      <c r="J23" s="27">
        <f>(J25-J14)/Założenia!$B$10</f>
        <v>55.249809249860448</v>
      </c>
      <c r="K23" s="27">
        <f>(K25-K14)/Założenia!$B$10</f>
        <v>64.409093505721145</v>
      </c>
      <c r="L23" s="27">
        <f>(L25-L14)/Założenia!$B$10</f>
        <v>73.215227277135028</v>
      </c>
    </row>
    <row r="24" spans="1:12">
      <c r="A24" s="2" t="s">
        <v>44</v>
      </c>
      <c r="B24" s="15">
        <f>Założenia!B22</f>
        <v>98040</v>
      </c>
      <c r="C24" s="15">
        <f>Założenia!C22</f>
        <v>98040</v>
      </c>
      <c r="D24" s="15">
        <f>Założenia!D22</f>
        <v>98040</v>
      </c>
      <c r="E24" s="15">
        <f>Założenia!E22</f>
        <v>98040</v>
      </c>
      <c r="F24" s="15">
        <f>Założenia!F22</f>
        <v>98040</v>
      </c>
      <c r="G24" s="15">
        <f>Założenia!G22</f>
        <v>980400</v>
      </c>
      <c r="H24" s="16">
        <f>Założenia!B10</f>
        <v>980400</v>
      </c>
      <c r="I24" s="16">
        <f>Założenia!B10</f>
        <v>980400</v>
      </c>
      <c r="J24" s="16">
        <f>Założenia!B10</f>
        <v>980400</v>
      </c>
      <c r="K24" s="16">
        <f>Założenia!B10</f>
        <v>980400</v>
      </c>
      <c r="L24" s="16">
        <f>Założenia!B10</f>
        <v>980400</v>
      </c>
    </row>
    <row r="25" spans="1:12">
      <c r="A25" s="17" t="s">
        <v>247</v>
      </c>
      <c r="B25" s="35">
        <f t="shared" ref="B25:G25" si="7">B23*B24</f>
        <v>19608000</v>
      </c>
      <c r="C25" s="35">
        <f t="shared" si="7"/>
        <v>29412000</v>
      </c>
      <c r="D25" s="35">
        <f t="shared" si="7"/>
        <v>32353200</v>
      </c>
      <c r="E25" s="35">
        <f t="shared" si="7"/>
        <v>41176800</v>
      </c>
      <c r="F25" s="35">
        <f t="shared" si="7"/>
        <v>39216000</v>
      </c>
      <c r="G25" s="35">
        <f t="shared" si="7"/>
        <v>40196400</v>
      </c>
      <c r="H25" s="36">
        <f>Założenia!$B$4*'Model 3 sprawozdań'!H15</f>
        <v>39114563.940506995</v>
      </c>
      <c r="I25" s="36">
        <f>Założenia!$B$4*'Model 3 sprawozdań'!I15</f>
        <v>46258713.213404916</v>
      </c>
      <c r="J25" s="36">
        <f>Założenia!$B$4*'Model 3 sprawozdań'!J15</f>
        <v>54087052.707306258</v>
      </c>
      <c r="K25" s="36">
        <f>Założenia!$B$4*'Model 3 sprawozdań'!K15</f>
        <v>62518618.606349558</v>
      </c>
      <c r="L25" s="36">
        <f>Założenia!$B$4*'Model 3 sprawozdań'!L15</f>
        <v>70407542.454326063</v>
      </c>
    </row>
    <row r="26" spans="1:12">
      <c r="A26" s="2" t="s">
        <v>234</v>
      </c>
      <c r="B26" s="15">
        <f t="shared" ref="B26:L26" si="8">B12</f>
        <v>1473710</v>
      </c>
      <c r="C26" s="15">
        <f t="shared" si="8"/>
        <v>1475167</v>
      </c>
      <c r="D26" s="15">
        <f t="shared" si="8"/>
        <v>1784532</v>
      </c>
      <c r="E26" s="15">
        <f t="shared" si="8"/>
        <v>1173178</v>
      </c>
      <c r="F26" s="15">
        <f t="shared" si="8"/>
        <v>1086816</v>
      </c>
      <c r="G26" s="15">
        <f t="shared" si="8"/>
        <v>755332</v>
      </c>
      <c r="H26" s="16">
        <f t="shared" si="8"/>
        <v>605338.63</v>
      </c>
      <c r="I26" s="16">
        <f t="shared" si="8"/>
        <v>628345.92299999995</v>
      </c>
      <c r="J26" s="16">
        <f t="shared" si="8"/>
        <v>654323.87237</v>
      </c>
      <c r="K26" s="16">
        <f t="shared" si="8"/>
        <v>683180.05768960004</v>
      </c>
      <c r="L26" s="16">
        <f t="shared" si="8"/>
        <v>714756.17598157201</v>
      </c>
    </row>
    <row r="27" spans="1:12">
      <c r="A27" s="2" t="s">
        <v>122</v>
      </c>
      <c r="B27" s="15">
        <f t="shared" ref="B27:L27" si="9">B13</f>
        <v>480418</v>
      </c>
      <c r="C27" s="15">
        <f t="shared" si="9"/>
        <v>418615</v>
      </c>
      <c r="D27" s="15">
        <f t="shared" si="9"/>
        <v>382718</v>
      </c>
      <c r="E27" s="15">
        <f t="shared" si="9"/>
        <v>218389</v>
      </c>
      <c r="F27" s="15">
        <f t="shared" si="9"/>
        <v>891022</v>
      </c>
      <c r="G27" s="15">
        <f t="shared" si="9"/>
        <v>954814</v>
      </c>
      <c r="H27" s="16">
        <f t="shared" si="9"/>
        <v>177324.33147505729</v>
      </c>
      <c r="I27" s="16">
        <f t="shared" si="9"/>
        <v>370035.60079518665</v>
      </c>
      <c r="J27" s="16">
        <f t="shared" si="9"/>
        <v>734184.15362691972</v>
      </c>
      <c r="K27" s="16">
        <f t="shared" si="9"/>
        <v>1311236.7243490554</v>
      </c>
      <c r="L27" s="16">
        <f t="shared" si="9"/>
        <v>2087422.5441586946</v>
      </c>
    </row>
    <row r="28" spans="1:12">
      <c r="A28" s="2" t="s">
        <v>235</v>
      </c>
      <c r="B28" s="15">
        <f t="shared" ref="B28:L28" si="10">B14</f>
        <v>993292</v>
      </c>
      <c r="C28" s="15">
        <f t="shared" si="10"/>
        <v>1056552</v>
      </c>
      <c r="D28" s="15">
        <f t="shared" si="10"/>
        <v>1401814</v>
      </c>
      <c r="E28" s="15">
        <f t="shared" si="10"/>
        <v>954789</v>
      </c>
      <c r="F28" s="15">
        <f t="shared" si="10"/>
        <v>195794</v>
      </c>
      <c r="G28" s="15">
        <f t="shared" si="10"/>
        <v>-199482</v>
      </c>
      <c r="H28" s="16">
        <f t="shared" si="10"/>
        <v>428014.29852494271</v>
      </c>
      <c r="I28" s="16">
        <f t="shared" si="10"/>
        <v>258310.3222048133</v>
      </c>
      <c r="J28" s="16">
        <f t="shared" si="10"/>
        <v>-79860.281256919727</v>
      </c>
      <c r="K28" s="16">
        <f t="shared" si="10"/>
        <v>-628056.6666594554</v>
      </c>
      <c r="L28" s="16">
        <f t="shared" si="10"/>
        <v>-1372666.3681771224</v>
      </c>
    </row>
    <row r="29" spans="1:12">
      <c r="A29" s="17" t="s">
        <v>248</v>
      </c>
      <c r="B29" s="35">
        <f t="shared" ref="B29:L29" si="11">B25+B28</f>
        <v>20601292</v>
      </c>
      <c r="C29" s="35">
        <f t="shared" si="11"/>
        <v>30468552</v>
      </c>
      <c r="D29" s="35">
        <f t="shared" si="11"/>
        <v>33755014</v>
      </c>
      <c r="E29" s="35">
        <f t="shared" si="11"/>
        <v>42131589</v>
      </c>
      <c r="F29" s="35">
        <f t="shared" si="11"/>
        <v>39411794</v>
      </c>
      <c r="G29" s="35">
        <f t="shared" si="11"/>
        <v>39996918</v>
      </c>
      <c r="H29" s="36">
        <f t="shared" si="11"/>
        <v>39542578.239031941</v>
      </c>
      <c r="I29" s="36">
        <f t="shared" si="11"/>
        <v>46517023.53560973</v>
      </c>
      <c r="J29" s="36">
        <f t="shared" si="11"/>
        <v>54007192.426049337</v>
      </c>
      <c r="K29" s="36">
        <f t="shared" si="11"/>
        <v>61890561.939690106</v>
      </c>
      <c r="L29" s="36">
        <f t="shared" si="11"/>
        <v>69034876.086148947</v>
      </c>
    </row>
    <row r="30" spans="1:12">
      <c r="A30" s="2" t="s">
        <v>249</v>
      </c>
      <c r="B30" s="14">
        <f>-'Dane źródłowe'!B16/'Dane źródłowe'!B15</f>
        <v>0.18388212927756653</v>
      </c>
      <c r="C30" s="14">
        <f>-'Dane źródłowe'!C16/'Dane źródłowe'!C15</f>
        <v>0.17692600947047707</v>
      </c>
      <c r="D30" s="14">
        <f>-'Dane źródłowe'!D16/'Dane źródłowe'!D15</f>
        <v>0.1922998991165924</v>
      </c>
      <c r="E30" s="14">
        <f>-'Dane źródłowe'!E16/'Dane źródłowe'!E15</f>
        <v>0.19186753621804953</v>
      </c>
      <c r="F30" s="14">
        <f>-'Dane źródłowe'!F16/'Dane źródłowe'!F15</f>
        <v>0.16048167808992492</v>
      </c>
      <c r="G30" s="14">
        <f>-'Dane źródłowe'!G16/'Dane źródłowe'!G15</f>
        <v>0.19093007407145968</v>
      </c>
      <c r="H30" s="13">
        <f>Założenia!B15</f>
        <v>0.19</v>
      </c>
      <c r="I30" s="13">
        <f>Założenia!B15</f>
        <v>0.19</v>
      </c>
      <c r="J30" s="13">
        <f>Założenia!B15</f>
        <v>0.19</v>
      </c>
      <c r="K30" s="13">
        <f>Założenia!B15</f>
        <v>0.19</v>
      </c>
      <c r="L30" s="13">
        <f>Założenia!B15</f>
        <v>0.19</v>
      </c>
    </row>
    <row r="31" spans="1:12">
      <c r="A31" s="2" t="s">
        <v>250</v>
      </c>
      <c r="B31" s="14">
        <f t="shared" ref="B31:L31" si="12">B21*(1-B30)</f>
        <v>1.6823421700793786E-2</v>
      </c>
      <c r="C31" s="14">
        <f t="shared" si="12"/>
        <v>1.4600473483498751E-2</v>
      </c>
      <c r="D31" s="14">
        <f t="shared" si="12"/>
        <v>6.1862656026508908E-2</v>
      </c>
      <c r="E31" s="14">
        <f t="shared" si="12"/>
        <v>6.9555933916770452E-2</v>
      </c>
      <c r="F31" s="14">
        <f t="shared" si="12"/>
        <v>6.7575460825094844E-2</v>
      </c>
      <c r="G31" s="14">
        <f t="shared" si="12"/>
        <v>5.9683657542326247E-2</v>
      </c>
      <c r="H31" s="13">
        <f t="shared" si="12"/>
        <v>5.6700000000000007E-2</v>
      </c>
      <c r="I31" s="13">
        <f t="shared" si="12"/>
        <v>5.6700000000000007E-2</v>
      </c>
      <c r="J31" s="13">
        <f t="shared" si="12"/>
        <v>5.6700000000000007E-2</v>
      </c>
      <c r="K31" s="13">
        <f t="shared" si="12"/>
        <v>5.6700000000000007E-2</v>
      </c>
      <c r="L31" s="13">
        <f t="shared" si="12"/>
        <v>5.6700000000000007E-2</v>
      </c>
    </row>
    <row r="32" spans="1:12">
      <c r="A32" s="2" t="s">
        <v>36</v>
      </c>
      <c r="B32" s="14">
        <f>Założenia!B21</f>
        <v>1.4999999999999999E-2</v>
      </c>
      <c r="C32" s="14">
        <f>Założenia!C21</f>
        <v>1.9400000000000001E-2</v>
      </c>
      <c r="D32" s="14">
        <f>Założenia!D21</f>
        <v>6.0499999999999998E-2</v>
      </c>
      <c r="E32" s="14">
        <f>Założenia!E21</f>
        <v>5.8099999999999999E-2</v>
      </c>
      <c r="F32" s="14">
        <f>Założenia!F21</f>
        <v>5.5300000000000002E-2</v>
      </c>
      <c r="G32" s="14">
        <f>Założenia!G21</f>
        <v>5.5E-2</v>
      </c>
      <c r="H32" s="13">
        <f>Założenia!B5</f>
        <v>5.8799999999999998E-2</v>
      </c>
      <c r="I32" s="13">
        <f>Założenia!B5</f>
        <v>5.8799999999999998E-2</v>
      </c>
      <c r="J32" s="13">
        <f>Założenia!B5</f>
        <v>5.8799999999999998E-2</v>
      </c>
      <c r="K32" s="13">
        <f>Założenia!B5</f>
        <v>5.8799999999999998E-2</v>
      </c>
      <c r="L32" s="13">
        <f>Założenia!B5</f>
        <v>5.8799999999999998E-2</v>
      </c>
    </row>
    <row r="33" spans="1:12">
      <c r="A33" s="2" t="s">
        <v>38</v>
      </c>
      <c r="B33" s="41">
        <f>Założenia!B6</f>
        <v>0.51</v>
      </c>
      <c r="C33" s="41">
        <f>Założenia!B6</f>
        <v>0.51</v>
      </c>
      <c r="D33" s="41">
        <f>Założenia!B6</f>
        <v>0.51</v>
      </c>
      <c r="E33" s="41">
        <f>Założenia!B6</f>
        <v>0.51</v>
      </c>
      <c r="F33" s="41">
        <f>Założenia!B6</f>
        <v>0.51</v>
      </c>
      <c r="G33" s="41">
        <f>Założenia!B6</f>
        <v>0.51</v>
      </c>
      <c r="H33" s="42">
        <f>Założenia!B6</f>
        <v>0.51</v>
      </c>
      <c r="I33" s="42">
        <f>Założenia!B6</f>
        <v>0.51</v>
      </c>
      <c r="J33" s="42">
        <f>Założenia!B6</f>
        <v>0.51</v>
      </c>
      <c r="K33" s="42">
        <f>Założenia!B6</f>
        <v>0.51</v>
      </c>
      <c r="L33" s="42">
        <f>Założenia!B6</f>
        <v>0.51</v>
      </c>
    </row>
    <row r="34" spans="1:12">
      <c r="A34" s="2" t="s">
        <v>40</v>
      </c>
      <c r="B34" s="14">
        <f>Założenia!B7</f>
        <v>5.33E-2</v>
      </c>
      <c r="C34" s="14">
        <f>Założenia!B7</f>
        <v>5.33E-2</v>
      </c>
      <c r="D34" s="14">
        <f>Założenia!B7</f>
        <v>5.33E-2</v>
      </c>
      <c r="E34" s="14">
        <f>Założenia!B7</f>
        <v>5.33E-2</v>
      </c>
      <c r="F34" s="14">
        <f>Założenia!B7</f>
        <v>5.33E-2</v>
      </c>
      <c r="G34" s="14">
        <f>Założenia!B7</f>
        <v>5.33E-2</v>
      </c>
      <c r="H34" s="13">
        <f>Założenia!B7</f>
        <v>5.33E-2</v>
      </c>
      <c r="I34" s="13">
        <f>Założenia!B7</f>
        <v>5.33E-2</v>
      </c>
      <c r="J34" s="13">
        <f>Założenia!B7</f>
        <v>5.33E-2</v>
      </c>
      <c r="K34" s="13">
        <f>Założenia!B7</f>
        <v>5.33E-2</v>
      </c>
      <c r="L34" s="13">
        <f>Założenia!B7</f>
        <v>5.33E-2</v>
      </c>
    </row>
    <row r="35" spans="1:12">
      <c r="A35" s="17" t="s">
        <v>251</v>
      </c>
      <c r="B35" s="19">
        <f t="shared" ref="B35:L35" si="13">B32+B33*B34</f>
        <v>4.2182999999999998E-2</v>
      </c>
      <c r="C35" s="19">
        <f t="shared" si="13"/>
        <v>4.6582999999999999E-2</v>
      </c>
      <c r="D35" s="19">
        <f t="shared" si="13"/>
        <v>8.7682999999999997E-2</v>
      </c>
      <c r="E35" s="19">
        <f t="shared" si="13"/>
        <v>8.5282999999999998E-2</v>
      </c>
      <c r="F35" s="19">
        <f t="shared" si="13"/>
        <v>8.2483000000000001E-2</v>
      </c>
      <c r="G35" s="19">
        <f t="shared" si="13"/>
        <v>8.2183000000000006E-2</v>
      </c>
      <c r="H35" s="20">
        <f t="shared" si="13"/>
        <v>8.5983000000000004E-2</v>
      </c>
      <c r="I35" s="20">
        <f t="shared" si="13"/>
        <v>8.5983000000000004E-2</v>
      </c>
      <c r="J35" s="20">
        <f t="shared" si="13"/>
        <v>8.5983000000000004E-2</v>
      </c>
      <c r="K35" s="20">
        <f t="shared" si="13"/>
        <v>8.5983000000000004E-2</v>
      </c>
      <c r="L35" s="20">
        <f t="shared" si="13"/>
        <v>8.5983000000000004E-2</v>
      </c>
    </row>
    <row r="36" spans="1:12">
      <c r="A36" s="2" t="s">
        <v>252</v>
      </c>
      <c r="B36" s="14">
        <f>'Model 3 sprawozdań'!B65/('Model 3 sprawozdań'!B65+B12)</f>
        <v>0.6059886537693906</v>
      </c>
      <c r="C36" s="14">
        <f>'Model 3 sprawozdań'!C65/('Model 3 sprawozdań'!C65+C12)</f>
        <v>0.67545629529209694</v>
      </c>
      <c r="D36" s="14">
        <f>'Model 3 sprawozdań'!D65/('Model 3 sprawozdań'!D65+D12)</f>
        <v>0.70199764040468815</v>
      </c>
      <c r="E36" s="14">
        <f>'Model 3 sprawozdań'!E65/('Model 3 sprawozdań'!E65+E12)</f>
        <v>0.82692632532117405</v>
      </c>
      <c r="F36" s="14">
        <f>'Model 3 sprawozdań'!F65/('Model 3 sprawozdań'!F65+F12)</f>
        <v>0.8672874805385109</v>
      </c>
      <c r="G36" s="14">
        <f>'Model 3 sprawozdań'!G65/('Model 3 sprawozdań'!G65+G12)</f>
        <v>0.91987095877608149</v>
      </c>
      <c r="H36" s="13">
        <f>Założenia!B16</f>
        <v>0.95</v>
      </c>
      <c r="I36" s="13">
        <f>Założenia!B16</f>
        <v>0.95</v>
      </c>
      <c r="J36" s="13">
        <f>Założenia!B16</f>
        <v>0.95</v>
      </c>
      <c r="K36" s="13">
        <f>Założenia!B16</f>
        <v>0.95</v>
      </c>
      <c r="L36" s="13">
        <f>Założenia!B16</f>
        <v>0.95</v>
      </c>
    </row>
    <row r="37" spans="1:12">
      <c r="A37" s="2" t="s">
        <v>253</v>
      </c>
      <c r="B37" s="14">
        <f>1-B36</f>
        <v>0.3940113462306094</v>
      </c>
      <c r="C37" s="14">
        <f t="shared" ref="C37:G37" si="14">1-C36</f>
        <v>0.32454370470790306</v>
      </c>
      <c r="D37" s="14">
        <f t="shared" si="14"/>
        <v>0.29800235959531185</v>
      </c>
      <c r="E37" s="14">
        <f t="shared" si="14"/>
        <v>0.17307367467882595</v>
      </c>
      <c r="F37" s="14">
        <f t="shared" si="14"/>
        <v>0.1327125194614891</v>
      </c>
      <c r="G37" s="14">
        <f t="shared" si="14"/>
        <v>8.0129041223918507E-2</v>
      </c>
      <c r="H37" s="13">
        <f>Założenia!B17</f>
        <v>5.0000000000000044E-2</v>
      </c>
      <c r="I37" s="13">
        <f>Założenia!B17</f>
        <v>5.0000000000000044E-2</v>
      </c>
      <c r="J37" s="13">
        <f>Założenia!B17</f>
        <v>5.0000000000000044E-2</v>
      </c>
      <c r="K37" s="13">
        <f>Założenia!B17</f>
        <v>5.0000000000000044E-2</v>
      </c>
      <c r="L37" s="13">
        <f>Założenia!B17</f>
        <v>5.0000000000000044E-2</v>
      </c>
    </row>
    <row r="38" spans="1:12">
      <c r="A38" s="17" t="s">
        <v>15</v>
      </c>
      <c r="B38" s="19">
        <f t="shared" ref="B38:L38" si="15">B35*B36+B31*B37</f>
        <v>3.2191038414489212E-2</v>
      </c>
      <c r="C38" s="19">
        <f t="shared" si="15"/>
        <v>3.6203272358415937E-2</v>
      </c>
      <c r="D38" s="19">
        <f t="shared" si="15"/>
        <v>7.9988476570337058E-2</v>
      </c>
      <c r="E38" s="19">
        <f t="shared" si="15"/>
        <v>8.2561058881058719E-2</v>
      </c>
      <c r="F38" s="19">
        <f t="shared" si="15"/>
        <v>8.050458291712749E-2</v>
      </c>
      <c r="G38" s="19">
        <f t="shared" si="15"/>
        <v>8.0380149260698003E-2</v>
      </c>
      <c r="H38" s="20">
        <f t="shared" si="15"/>
        <v>8.4518850000000006E-2</v>
      </c>
      <c r="I38" s="20">
        <f t="shared" si="15"/>
        <v>8.4518850000000006E-2</v>
      </c>
      <c r="J38" s="20">
        <f t="shared" si="15"/>
        <v>8.4518850000000006E-2</v>
      </c>
      <c r="K38" s="20">
        <f t="shared" si="15"/>
        <v>8.4518850000000006E-2</v>
      </c>
      <c r="L38" s="20">
        <f t="shared" si="15"/>
        <v>8.4518850000000006E-2</v>
      </c>
    </row>
  </sheetData>
  <mergeCells count="5">
    <mergeCell ref="A1:L1"/>
    <mergeCell ref="A2:L2"/>
    <mergeCell ref="A5:L5"/>
    <mergeCell ref="A16:L16"/>
    <mergeCell ref="A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zoomScale="86" workbookViewId="0">
      <selection activeCell="A7" sqref="A7:G7"/>
    </sheetView>
  </sheetViews>
  <sheetFormatPr defaultRowHeight="13.8"/>
  <cols>
    <col min="1" max="1" width="40" customWidth="1"/>
    <col min="2" max="7" width="15" customWidth="1"/>
    <col min="9" max="14" width="14" customWidth="1"/>
  </cols>
  <sheetData>
    <row r="1" spans="1:14" ht="22.05" customHeight="1">
      <c r="A1" s="64" t="s">
        <v>254</v>
      </c>
      <c r="B1" s="65"/>
      <c r="C1" s="65"/>
      <c r="D1" s="65"/>
      <c r="E1" s="65"/>
      <c r="F1" s="65"/>
      <c r="G1" s="65"/>
      <c r="I1" s="73" t="s">
        <v>286</v>
      </c>
      <c r="J1" s="74"/>
      <c r="K1" s="74"/>
      <c r="L1" s="74"/>
      <c r="M1" s="74"/>
      <c r="N1" s="75"/>
    </row>
    <row r="2" spans="1:14" ht="30" customHeight="1">
      <c r="A2" s="70" t="s">
        <v>255</v>
      </c>
      <c r="B2" s="71"/>
      <c r="C2" s="71"/>
      <c r="D2" s="71"/>
      <c r="E2" s="71"/>
      <c r="F2" s="71"/>
      <c r="G2" s="71"/>
      <c r="I2" s="76" t="s">
        <v>287</v>
      </c>
      <c r="J2" s="77"/>
      <c r="K2" s="77"/>
      <c r="L2" s="77"/>
      <c r="M2" s="77"/>
      <c r="N2" s="78"/>
    </row>
    <row r="3" spans="1:14" ht="18" customHeight="1">
      <c r="A3" s="6" t="s">
        <v>2</v>
      </c>
      <c r="B3" s="7" t="s">
        <v>3</v>
      </c>
      <c r="C3" s="7" t="s">
        <v>19</v>
      </c>
      <c r="D3" s="7" t="s">
        <v>20</v>
      </c>
      <c r="E3" s="7" t="s">
        <v>21</v>
      </c>
      <c r="F3" s="7" t="s">
        <v>4</v>
      </c>
      <c r="G3" s="7" t="s">
        <v>256</v>
      </c>
      <c r="I3" s="52"/>
      <c r="J3" s="52"/>
      <c r="K3" s="52"/>
      <c r="L3" s="52"/>
      <c r="M3" s="52"/>
      <c r="N3" s="52"/>
    </row>
    <row r="4" spans="1:14" ht="18" customHeight="1">
      <c r="A4" s="67" t="s">
        <v>257</v>
      </c>
      <c r="B4" s="68"/>
      <c r="C4" s="68"/>
      <c r="D4" s="68"/>
      <c r="E4" s="68"/>
      <c r="F4" s="68"/>
      <c r="G4" s="68"/>
      <c r="I4" s="73" t="s">
        <v>288</v>
      </c>
      <c r="J4" s="74"/>
      <c r="K4" s="74"/>
      <c r="L4" s="74"/>
      <c r="M4" s="74"/>
      <c r="N4" s="75"/>
    </row>
    <row r="5" spans="1:14" ht="18" customHeight="1">
      <c r="A5" s="2" t="s">
        <v>15</v>
      </c>
      <c r="B5" s="13">
        <f>'Dług i WACC'!H38</f>
        <v>8.4518850000000006E-2</v>
      </c>
      <c r="C5" s="13"/>
      <c r="D5" s="13"/>
      <c r="E5" s="13"/>
      <c r="F5" s="13"/>
      <c r="G5" s="13"/>
      <c r="I5" s="49" t="s">
        <v>289</v>
      </c>
      <c r="J5" s="50">
        <f>$B$5-1%</f>
        <v>7.4518850000000011E-2</v>
      </c>
      <c r="K5" s="50">
        <f>$B$5-0.5%</f>
        <v>7.9518850000000002E-2</v>
      </c>
      <c r="L5" s="50">
        <f>$B$5</f>
        <v>8.4518850000000006E-2</v>
      </c>
      <c r="M5" s="50">
        <f>$B$5+0.5%</f>
        <v>8.9518850000000011E-2</v>
      </c>
      <c r="N5" s="51">
        <f>$B$5+1%</f>
        <v>9.4518850000000001E-2</v>
      </c>
    </row>
    <row r="6" spans="1:14" ht="18" customHeight="1">
      <c r="A6" s="2" t="s">
        <v>42</v>
      </c>
      <c r="B6" s="13">
        <f>Założenia!B8</f>
        <v>0.03</v>
      </c>
      <c r="C6" s="13"/>
      <c r="D6" s="13"/>
      <c r="E6" s="13"/>
      <c r="F6" s="13"/>
      <c r="G6" s="13"/>
      <c r="I6" s="53">
        <f>$B$6-1%</f>
        <v>1.9999999999999997E-2</v>
      </c>
      <c r="J6" s="54">
        <f t="shared" ref="J6:N10" si="0">IF(J$5&gt;$I6,((SUMPRODUCT($B$14:$F$14,1/(1+J$5)^$B$16:$F$16)+($F$14*(1+$I6)/(J$5-$I6))/(1+J$5)^$F$16)-$B$23)/$B$25,NA())</f>
        <v>13.295931606071512</v>
      </c>
      <c r="K6" s="54">
        <f t="shared" si="0"/>
        <v>12.080512643477718</v>
      </c>
      <c r="L6" s="54">
        <f t="shared" si="0"/>
        <v>11.055445165163301</v>
      </c>
      <c r="M6" s="54">
        <f t="shared" si="0"/>
        <v>10.179613495664846</v>
      </c>
      <c r="N6" s="55">
        <f t="shared" si="0"/>
        <v>9.4229381158032357</v>
      </c>
    </row>
    <row r="7" spans="1:14" ht="18" customHeight="1">
      <c r="A7" s="67" t="s">
        <v>258</v>
      </c>
      <c r="B7" s="68"/>
      <c r="C7" s="68"/>
      <c r="D7" s="68"/>
      <c r="E7" s="68"/>
      <c r="F7" s="68"/>
      <c r="G7" s="68"/>
      <c r="I7" s="53">
        <f>$B$6-0.5%</f>
        <v>2.4999999999999998E-2</v>
      </c>
      <c r="J7" s="54">
        <f t="shared" si="0"/>
        <v>14.495943812215476</v>
      </c>
      <c r="K7" s="54">
        <f t="shared" si="0"/>
        <v>13.060537105992255</v>
      </c>
      <c r="L7" s="54">
        <f t="shared" si="0"/>
        <v>11.868405742600402</v>
      </c>
      <c r="M7" s="54">
        <f t="shared" si="0"/>
        <v>10.8629440871605</v>
      </c>
      <c r="N7" s="55">
        <f t="shared" si="0"/>
        <v>10.003832729432842</v>
      </c>
    </row>
    <row r="8" spans="1:14" ht="18" customHeight="1">
      <c r="A8" s="2" t="s">
        <v>199</v>
      </c>
      <c r="B8" s="15">
        <f>'Model 3 sprawozdań'!H18</f>
        <v>2008428.3076312994</v>
      </c>
      <c r="C8" s="15">
        <f>'Model 3 sprawozdań'!I18</f>
        <v>2340063.793061309</v>
      </c>
      <c r="D8" s="15">
        <f>'Model 3 sprawozdań'!J18</f>
        <v>2696089.3257432077</v>
      </c>
      <c r="E8" s="15">
        <f>'Model 3 sprawozdań'!K18</f>
        <v>3071447.5904842713</v>
      </c>
      <c r="F8" s="15">
        <f>'Model 3 sprawozdań'!L18</f>
        <v>3391048.8177941404</v>
      </c>
      <c r="G8" s="12"/>
      <c r="I8" s="53">
        <f>$B$6</f>
        <v>0.03</v>
      </c>
      <c r="J8" s="54">
        <f t="shared" si="0"/>
        <v>15.965507501864519</v>
      </c>
      <c r="K8" s="54">
        <f t="shared" si="0"/>
        <v>14.238470942919678</v>
      </c>
      <c r="L8" s="54">
        <f t="shared" si="0"/>
        <v>12.830481823654534</v>
      </c>
      <c r="M8" s="54">
        <f t="shared" si="0"/>
        <v>11.661083783922074</v>
      </c>
      <c r="N8" s="55">
        <f t="shared" si="0"/>
        <v>10.674762210954484</v>
      </c>
    </row>
    <row r="9" spans="1:14" ht="18" customHeight="1">
      <c r="A9" s="2" t="s">
        <v>259</v>
      </c>
      <c r="B9" s="16">
        <f>-B8*Założenia!B15</f>
        <v>-381601.37844994687</v>
      </c>
      <c r="C9" s="16">
        <f>-C8*Założenia!B15</f>
        <v>-444612.12068164872</v>
      </c>
      <c r="D9" s="16">
        <f>-D8*Założenia!B15</f>
        <v>-512256.97189120948</v>
      </c>
      <c r="E9" s="16">
        <f>-E8*Założenia!B15</f>
        <v>-583575.04219201161</v>
      </c>
      <c r="F9" s="16">
        <f>-F8*Założenia!B15</f>
        <v>-644299.27538088674</v>
      </c>
      <c r="G9" s="3"/>
      <c r="I9" s="53">
        <f>$B$6+0.5%</f>
        <v>3.4999999999999996E-2</v>
      </c>
      <c r="J9" s="54">
        <f t="shared" si="0"/>
        <v>17.806935172790599</v>
      </c>
      <c r="K9" s="54">
        <f t="shared" si="0"/>
        <v>15.680996932817676</v>
      </c>
      <c r="L9" s="54">
        <f t="shared" si="0"/>
        <v>13.986842723732957</v>
      </c>
      <c r="M9" s="54">
        <f t="shared" si="0"/>
        <v>12.605620496901263</v>
      </c>
      <c r="N9" s="55">
        <f t="shared" si="0"/>
        <v>11.458417237664188</v>
      </c>
    </row>
    <row r="10" spans="1:14" ht="18" customHeight="1">
      <c r="A10" s="2" t="s">
        <v>260</v>
      </c>
      <c r="B10" s="16">
        <f>B8+B9</f>
        <v>1626826.9291813525</v>
      </c>
      <c r="C10" s="16">
        <f>C8+C9</f>
        <v>1895451.6723796604</v>
      </c>
      <c r="D10" s="16">
        <f>D8+D9</f>
        <v>2183832.3538519982</v>
      </c>
      <c r="E10" s="16">
        <f>E8+E9</f>
        <v>2487872.5482922597</v>
      </c>
      <c r="F10" s="16">
        <f>F8+F9</f>
        <v>2746749.5424132538</v>
      </c>
      <c r="G10" s="3"/>
      <c r="I10" s="56">
        <f>$B$6+1%</f>
        <v>0.04</v>
      </c>
      <c r="J10" s="57">
        <f t="shared" si="0"/>
        <v>20.181818526894453</v>
      </c>
      <c r="K10" s="57">
        <f t="shared" si="0"/>
        <v>17.488545181687787</v>
      </c>
      <c r="L10" s="57">
        <f t="shared" si="0"/>
        <v>15.402949978463049</v>
      </c>
      <c r="M10" s="57">
        <f t="shared" si="0"/>
        <v>13.740900071029126</v>
      </c>
      <c r="N10" s="58">
        <f t="shared" si="0"/>
        <v>12.38581246188534</v>
      </c>
    </row>
    <row r="11" spans="1:14" ht="18" customHeight="1">
      <c r="A11" s="2" t="s">
        <v>207</v>
      </c>
      <c r="B11" s="15">
        <f>'Model 3 sprawozdań'!H32</f>
        <v>599209.2884025001</v>
      </c>
      <c r="C11" s="15">
        <f>'Model 3 sprawozdań'!I32</f>
        <v>743850.42116568505</v>
      </c>
      <c r="D11" s="15">
        <f>'Model 3 sprawozdań'!J32</f>
        <v>909714.18807720963</v>
      </c>
      <c r="E11" s="15">
        <f>'Model 3 sprawozdań'!K32</f>
        <v>1096460.3166056992</v>
      </c>
      <c r="F11" s="15">
        <f>'Model 3 sprawozdań'!L32</f>
        <v>1302787.345827597</v>
      </c>
      <c r="G11" s="12"/>
      <c r="I11" s="52"/>
      <c r="J11" s="52"/>
      <c r="K11" s="52"/>
      <c r="L11" s="52"/>
      <c r="M11" s="52"/>
      <c r="N11" s="52"/>
    </row>
    <row r="12" spans="1:14" ht="18" customHeight="1">
      <c r="A12" s="2" t="s">
        <v>210</v>
      </c>
      <c r="B12" s="15">
        <f>'Model 3 sprawozdań'!H35</f>
        <v>-2436784.4395035002</v>
      </c>
      <c r="C12" s="15">
        <f>'Model 3 sprawozdań'!I35</f>
        <v>-2742948.4280484635</v>
      </c>
      <c r="D12" s="15">
        <f>'Model 3 sprawozdań'!J35</f>
        <v>-3050218.160023585</v>
      </c>
      <c r="E12" s="15">
        <f>'Model 3 sprawozdań'!K35</f>
        <v>-3350295.4118507477</v>
      </c>
      <c r="F12" s="15">
        <f>'Model 3 sprawozdań'!L35</f>
        <v>-3634091.0173085597</v>
      </c>
      <c r="G12" s="12"/>
      <c r="I12" s="73" t="s">
        <v>290</v>
      </c>
      <c r="J12" s="74"/>
      <c r="K12" s="74"/>
      <c r="L12" s="74"/>
      <c r="M12" s="74"/>
      <c r="N12" s="75"/>
    </row>
    <row r="13" spans="1:14" ht="18" customHeight="1">
      <c r="A13" s="2" t="s">
        <v>261</v>
      </c>
      <c r="B13" s="16">
        <f>'Model 3 sprawozdań'!H90-'Model 3 sprawozdań'!G90</f>
        <v>-347357.70855479501</v>
      </c>
      <c r="C13" s="16">
        <f>'Model 3 sprawozdań'!I90-'Model 3 sprawozdań'!H90</f>
        <v>-360423.33960627485</v>
      </c>
      <c r="D13" s="16">
        <f>'Model 3 sprawozdań'!J90-'Model 3 sprawozdań'!I90</f>
        <v>-389186.26429572701</v>
      </c>
      <c r="E13" s="16">
        <f>'Model 3 sprawozdań'!K90-'Model 3 sprawozdań'!J90</f>
        <v>-413821.0898015853</v>
      </c>
      <c r="F13" s="16">
        <f>'Model 3 sprawozdań'!L90-'Model 3 sprawozdań'!K90</f>
        <v>-431376.5594545682</v>
      </c>
      <c r="G13" s="3"/>
      <c r="I13" s="49" t="s">
        <v>289</v>
      </c>
      <c r="J13" s="50">
        <f>$B$5-1%</f>
        <v>7.4518850000000011E-2</v>
      </c>
      <c r="K13" s="50">
        <f>$B$5-0.5%</f>
        <v>7.9518850000000002E-2</v>
      </c>
      <c r="L13" s="50">
        <f>$B$5</f>
        <v>8.4518850000000006E-2</v>
      </c>
      <c r="M13" s="50">
        <f>$B$5+0.5%</f>
        <v>8.9518850000000011E-2</v>
      </c>
      <c r="N13" s="51">
        <f>$B$5+1%</f>
        <v>9.4518850000000001E-2</v>
      </c>
    </row>
    <row r="14" spans="1:14" ht="18" customHeight="1">
      <c r="A14" s="17" t="s">
        <v>262</v>
      </c>
      <c r="B14" s="36">
        <f>SUM(B10:B12)-B13</f>
        <v>136609.48663514759</v>
      </c>
      <c r="C14" s="36">
        <f t="shared" ref="C14:F14" si="1">SUM(C10:C12)-C13</f>
        <v>256777.0051031569</v>
      </c>
      <c r="D14" s="36">
        <f t="shared" si="1"/>
        <v>432514.64620134979</v>
      </c>
      <c r="E14" s="36">
        <f t="shared" si="1"/>
        <v>647858.54284879658</v>
      </c>
      <c r="F14" s="36">
        <f t="shared" si="1"/>
        <v>846822.43038685899</v>
      </c>
      <c r="G14" s="18"/>
      <c r="I14" s="53">
        <f>$B$6-1%</f>
        <v>1.9999999999999997E-2</v>
      </c>
      <c r="J14" s="54">
        <f t="shared" ref="J14:N18" si="2">IF(J$13&gt;$I14,((SUMPRODUCT($B$14:$F$14,1/(1+J$13)^$B$16:$F$16)+($B$34*(1+$I14)/(J$13-$I14))/(1+J$13)^$F$16)-$B$23)/$B$25,NA())</f>
        <v>44.354314331364101</v>
      </c>
      <c r="K14" s="54">
        <f t="shared" si="2"/>
        <v>39.877007493851906</v>
      </c>
      <c r="L14" s="54">
        <f t="shared" si="2"/>
        <v>36.112127933364519</v>
      </c>
      <c r="M14" s="54">
        <f t="shared" si="2"/>
        <v>32.90542473929689</v>
      </c>
      <c r="N14" s="55">
        <f t="shared" si="2"/>
        <v>30.144063820912148</v>
      </c>
    </row>
    <row r="15" spans="1:14" ht="18" customHeight="1">
      <c r="A15" s="67" t="s">
        <v>263</v>
      </c>
      <c r="B15" s="68"/>
      <c r="C15" s="68"/>
      <c r="D15" s="68"/>
      <c r="E15" s="68"/>
      <c r="F15" s="68"/>
      <c r="G15" s="68"/>
      <c r="I15" s="53">
        <f>$B$6-0.5%</f>
        <v>2.4999999999999998E-2</v>
      </c>
      <c r="J15" s="54">
        <f t="shared" si="2"/>
        <v>48.857962295865761</v>
      </c>
      <c r="K15" s="54">
        <f t="shared" si="2"/>
        <v>43.555041061483728</v>
      </c>
      <c r="L15" s="54">
        <f t="shared" si="2"/>
        <v>39.163170440306708</v>
      </c>
      <c r="M15" s="54">
        <f t="shared" si="2"/>
        <v>35.469965676226252</v>
      </c>
      <c r="N15" s="55">
        <f t="shared" si="2"/>
        <v>32.324162348967533</v>
      </c>
    </row>
    <row r="16" spans="1:14" ht="18" customHeight="1">
      <c r="A16" s="2" t="s">
        <v>264</v>
      </c>
      <c r="B16" s="3">
        <f>1</f>
        <v>1</v>
      </c>
      <c r="C16" s="3">
        <f>2</f>
        <v>2</v>
      </c>
      <c r="D16" s="3">
        <f>3</f>
        <v>3</v>
      </c>
      <c r="E16" s="3">
        <f>4</f>
        <v>4</v>
      </c>
      <c r="F16" s="3">
        <f>5</f>
        <v>5</v>
      </c>
      <c r="G16" s="3"/>
      <c r="I16" s="53">
        <f>$B$6</f>
        <v>0.03</v>
      </c>
      <c r="J16" s="54">
        <f t="shared" si="2"/>
        <v>54.373237461991394</v>
      </c>
      <c r="K16" s="54">
        <f t="shared" si="2"/>
        <v>47.975828866669914</v>
      </c>
      <c r="L16" s="54">
        <f t="shared" si="2"/>
        <v>42.773843700087994</v>
      </c>
      <c r="M16" s="54">
        <f t="shared" si="2"/>
        <v>38.465385391379556</v>
      </c>
      <c r="N16" s="55">
        <f t="shared" si="2"/>
        <v>34.842161897895956</v>
      </c>
    </row>
    <row r="17" spans="1:14" ht="18" customHeight="1">
      <c r="A17" s="2" t="s">
        <v>265</v>
      </c>
      <c r="B17" s="3">
        <f>1/(1+$B$5)^B16</f>
        <v>0.92206788291416053</v>
      </c>
      <c r="C17" s="3">
        <f>1/(1+$B$5)^C16</f>
        <v>0.85020918070180207</v>
      </c>
      <c r="D17" s="3">
        <f>1/(1+$B$5)^D16</f>
        <v>0.78395057928389356</v>
      </c>
      <c r="E17" s="3">
        <f>1/(1+$B$5)^E16</f>
        <v>0.72285565094962945</v>
      </c>
      <c r="F17" s="3">
        <f>1/(1+$B$5)^F16</f>
        <v>0.66652197972366212</v>
      </c>
      <c r="G17" s="3"/>
      <c r="I17" s="53">
        <f>$B$6+0.5%</f>
        <v>3.4999999999999996E-2</v>
      </c>
      <c r="J17" s="54">
        <f t="shared" si="2"/>
        <v>61.284118817600159</v>
      </c>
      <c r="K17" s="54">
        <f t="shared" si="2"/>
        <v>53.389631497078703</v>
      </c>
      <c r="L17" s="54">
        <f t="shared" si="2"/>
        <v>47.113668234541699</v>
      </c>
      <c r="M17" s="54">
        <f t="shared" si="2"/>
        <v>42.010233371280414</v>
      </c>
      <c r="N17" s="55">
        <f t="shared" si="2"/>
        <v>37.783220620334667</v>
      </c>
    </row>
    <row r="18" spans="1:14" ht="18" customHeight="1">
      <c r="A18" s="17" t="s">
        <v>266</v>
      </c>
      <c r="B18" s="36">
        <f>B14*B17</f>
        <v>125963.22012766085</v>
      </c>
      <c r="C18" s="36">
        <f>C14*C17</f>
        <v>218314.16713181749</v>
      </c>
      <c r="D18" s="36">
        <f>D14*D17</f>
        <v>339070.10743831645</v>
      </c>
      <c r="E18" s="36">
        <f>E14*E17</f>
        <v>468308.20871424524</v>
      </c>
      <c r="F18" s="36">
        <f>F14*F17</f>
        <v>564425.76277585234</v>
      </c>
      <c r="G18" s="18"/>
      <c r="I18" s="56">
        <f>$B$6+1%</f>
        <v>0.04</v>
      </c>
      <c r="J18" s="57">
        <f t="shared" si="2"/>
        <v>70.197060310093207</v>
      </c>
      <c r="K18" s="57">
        <f t="shared" si="2"/>
        <v>60.173363320874664</v>
      </c>
      <c r="L18" s="57">
        <f t="shared" si="2"/>
        <v>52.42832130442563</v>
      </c>
      <c r="M18" s="57">
        <f t="shared" si="2"/>
        <v>46.270939651586247</v>
      </c>
      <c r="N18" s="58">
        <f t="shared" si="2"/>
        <v>41.263736562145922</v>
      </c>
    </row>
    <row r="19" spans="1:14" ht="18" customHeight="1">
      <c r="A19" s="2" t="s">
        <v>267</v>
      </c>
      <c r="B19" s="3"/>
      <c r="C19" s="3"/>
      <c r="D19" s="3"/>
      <c r="E19" s="3"/>
      <c r="F19" s="3"/>
      <c r="G19" s="16">
        <f>F14*(1+$B$6)/($B$5-$B$6)</f>
        <v>15998633.56065773</v>
      </c>
    </row>
    <row r="20" spans="1:14" ht="18" customHeight="1">
      <c r="A20" s="17" t="s">
        <v>268</v>
      </c>
      <c r="B20" s="18"/>
      <c r="C20" s="18"/>
      <c r="D20" s="18"/>
      <c r="E20" s="18"/>
      <c r="F20" s="18"/>
      <c r="G20" s="36">
        <f>G19*F17</f>
        <v>10663440.913723012</v>
      </c>
    </row>
    <row r="21" spans="1:14" ht="18" customHeight="1">
      <c r="A21" s="67" t="s">
        <v>269</v>
      </c>
      <c r="B21" s="68"/>
      <c r="C21" s="68"/>
      <c r="D21" s="68"/>
      <c r="E21" s="68"/>
      <c r="F21" s="68"/>
      <c r="G21" s="68"/>
    </row>
    <row r="22" spans="1:14" ht="18" customHeight="1">
      <c r="A22" s="17" t="s">
        <v>248</v>
      </c>
      <c r="B22" s="36">
        <f>SUM(B18:F18)+G20</f>
        <v>12379522.379910905</v>
      </c>
      <c r="C22" s="18"/>
      <c r="D22" s="18"/>
      <c r="E22" s="18"/>
      <c r="F22" s="18"/>
      <c r="G22" s="18"/>
    </row>
    <row r="23" spans="1:14" ht="18" customHeight="1">
      <c r="A23" s="2" t="s">
        <v>270</v>
      </c>
      <c r="B23" s="15">
        <f>'Model 3 sprawozdań'!G89</f>
        <v>-199482</v>
      </c>
      <c r="C23" s="12"/>
      <c r="D23" s="12"/>
      <c r="E23" s="12"/>
      <c r="F23" s="12"/>
      <c r="G23" s="12"/>
    </row>
    <row r="24" spans="1:14" ht="18" customHeight="1">
      <c r="A24" s="17" t="s">
        <v>271</v>
      </c>
      <c r="B24" s="36">
        <f>B22-B23</f>
        <v>12579004.379910905</v>
      </c>
      <c r="C24" s="18"/>
      <c r="D24" s="18"/>
      <c r="E24" s="18"/>
      <c r="F24" s="18"/>
      <c r="G24" s="18"/>
    </row>
    <row r="25" spans="1:14" ht="18" customHeight="1">
      <c r="A25" s="2" t="s">
        <v>44</v>
      </c>
      <c r="B25" s="15">
        <f>Założenia!B10</f>
        <v>980400</v>
      </c>
      <c r="C25" s="12"/>
      <c r="D25" s="12"/>
      <c r="E25" s="12"/>
      <c r="F25" s="12"/>
      <c r="G25" s="12"/>
    </row>
    <row r="26" spans="1:14" ht="18" customHeight="1">
      <c r="A26" s="17" t="s">
        <v>272</v>
      </c>
      <c r="B26" s="18">
        <f>B24/B25</f>
        <v>12.830481823654534</v>
      </c>
      <c r="C26" s="18"/>
      <c r="D26" s="18"/>
      <c r="E26" s="18"/>
      <c r="F26" s="18"/>
      <c r="G26" s="18"/>
    </row>
    <row r="27" spans="1:14" ht="18" customHeight="1">
      <c r="A27" s="2" t="s">
        <v>43</v>
      </c>
      <c r="B27" s="12">
        <f>Założenia!B9</f>
        <v>41</v>
      </c>
      <c r="C27" s="12"/>
      <c r="D27" s="12"/>
      <c r="E27" s="12"/>
      <c r="F27" s="12"/>
      <c r="G27" s="12"/>
    </row>
    <row r="28" spans="1:14" ht="18" customHeight="1">
      <c r="A28" s="17" t="s">
        <v>16</v>
      </c>
      <c r="B28" s="20">
        <f>B26/B27-1</f>
        <v>-0.6870614189352553</v>
      </c>
      <c r="C28" s="20"/>
      <c r="D28" s="20"/>
      <c r="E28" s="20"/>
      <c r="F28" s="20"/>
      <c r="G28" s="20"/>
    </row>
    <row r="29" spans="1:14" ht="18" customHeight="1">
      <c r="A29" s="67" t="s">
        <v>273</v>
      </c>
      <c r="B29" s="68"/>
      <c r="C29" s="68"/>
      <c r="D29" s="68"/>
      <c r="E29" s="68"/>
      <c r="F29" s="68"/>
      <c r="G29" s="68"/>
    </row>
    <row r="30" spans="1:14" ht="18" customHeight="1">
      <c r="A30" s="2" t="s">
        <v>274</v>
      </c>
      <c r="B30" s="16">
        <f>F10</f>
        <v>2746749.5424132538</v>
      </c>
      <c r="C30" s="3"/>
      <c r="D30" s="3"/>
      <c r="E30" s="3"/>
      <c r="F30" s="3"/>
      <c r="G30" s="3"/>
    </row>
    <row r="31" spans="1:14" ht="18" customHeight="1">
      <c r="A31" s="2" t="s">
        <v>275</v>
      </c>
      <c r="B31" s="16">
        <f>F11</f>
        <v>1302787.345827597</v>
      </c>
      <c r="C31" s="3"/>
      <c r="D31" s="3"/>
      <c r="E31" s="3"/>
      <c r="F31" s="3"/>
      <c r="G31" s="3"/>
    </row>
    <row r="32" spans="1:14" ht="18" customHeight="1">
      <c r="A32" s="2" t="s">
        <v>276</v>
      </c>
      <c r="B32" s="16">
        <f>-B31</f>
        <v>-1302787.345827597</v>
      </c>
      <c r="C32" s="3"/>
      <c r="D32" s="3"/>
      <c r="E32" s="3"/>
      <c r="F32" s="3"/>
      <c r="G32" s="3"/>
    </row>
    <row r="33" spans="1:7" ht="18" customHeight="1">
      <c r="A33" s="2" t="s">
        <v>277</v>
      </c>
      <c r="B33" s="16">
        <f>F13</f>
        <v>-431376.5594545682</v>
      </c>
      <c r="C33" s="3"/>
      <c r="D33" s="3"/>
      <c r="E33" s="3"/>
      <c r="F33" s="3"/>
      <c r="G33" s="3"/>
    </row>
    <row r="34" spans="1:7" ht="18" customHeight="1">
      <c r="A34" s="17" t="s">
        <v>278</v>
      </c>
      <c r="B34" s="36">
        <f>SUM(B30:B32)-B33</f>
        <v>3178126.1018678215</v>
      </c>
      <c r="C34" s="18"/>
      <c r="D34" s="18"/>
      <c r="E34" s="18"/>
      <c r="F34" s="18"/>
      <c r="G34" s="18"/>
    </row>
    <row r="35" spans="1:7" ht="18" customHeight="1">
      <c r="A35" s="2" t="s">
        <v>267</v>
      </c>
      <c r="B35" s="16">
        <f>B34*(1+$B$6)/($B$5-$B$6)</f>
        <v>60042900.481647283</v>
      </c>
      <c r="C35" s="3"/>
      <c r="D35" s="3"/>
      <c r="E35" s="3"/>
      <c r="F35" s="3"/>
      <c r="G35" s="3"/>
    </row>
    <row r="36" spans="1:7" ht="18" customHeight="1">
      <c r="A36" s="17" t="s">
        <v>268</v>
      </c>
      <c r="B36" s="36">
        <f>B35*F17</f>
        <v>40019912.89737837</v>
      </c>
      <c r="C36" s="18"/>
      <c r="D36" s="18"/>
      <c r="E36" s="18"/>
      <c r="F36" s="18"/>
      <c r="G36" s="18"/>
    </row>
    <row r="37" spans="1:7" ht="18" customHeight="1">
      <c r="A37" s="17" t="s">
        <v>248</v>
      </c>
      <c r="B37" s="36">
        <f>SUM(B18:F18)+B36</f>
        <v>41735994.363566265</v>
      </c>
      <c r="C37" s="18"/>
      <c r="D37" s="18"/>
      <c r="E37" s="18"/>
      <c r="F37" s="18"/>
      <c r="G37" s="18"/>
    </row>
    <row r="38" spans="1:7" ht="18" customHeight="1">
      <c r="A38" s="17" t="s">
        <v>272</v>
      </c>
      <c r="B38" s="18">
        <f>(B37-B23)/B25</f>
        <v>42.773843700087987</v>
      </c>
      <c r="C38" s="18"/>
      <c r="D38" s="18"/>
      <c r="E38" s="18"/>
      <c r="F38" s="18"/>
      <c r="G38" s="18"/>
    </row>
    <row r="39" spans="1:7" ht="18" customHeight="1">
      <c r="A39" s="17" t="s">
        <v>16</v>
      </c>
      <c r="B39" s="20">
        <f>B38/B27-1</f>
        <v>4.3264480489950907E-2</v>
      </c>
      <c r="C39" s="20"/>
      <c r="D39" s="20"/>
      <c r="E39" s="20"/>
      <c r="F39" s="20"/>
      <c r="G39" s="20"/>
    </row>
  </sheetData>
  <mergeCells count="11">
    <mergeCell ref="A29:G29"/>
    <mergeCell ref="A1:G1"/>
    <mergeCell ref="A2:G2"/>
    <mergeCell ref="A4:G4"/>
    <mergeCell ref="A7:G7"/>
    <mergeCell ref="A15:G15"/>
    <mergeCell ref="I1:N1"/>
    <mergeCell ref="I2:N2"/>
    <mergeCell ref="I4:N4"/>
    <mergeCell ref="I12:N12"/>
    <mergeCell ref="A21:G21"/>
  </mergeCells>
  <conditionalFormatting sqref="J6:N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14:N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activeCell="A2" sqref="A2:L2"/>
    </sheetView>
  </sheetViews>
  <sheetFormatPr defaultRowHeight="13.8"/>
  <cols>
    <col min="1" max="1" width="38" customWidth="1"/>
    <col min="2" max="12" width="13" customWidth="1"/>
  </cols>
  <sheetData>
    <row r="1" spans="1:12" ht="22.05" customHeight="1">
      <c r="A1" s="64" t="s">
        <v>279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30" customHeight="1">
      <c r="A2" s="70" t="s">
        <v>298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18" customHeight="1">
      <c r="A3" s="6" t="s">
        <v>2</v>
      </c>
      <c r="B3" s="24">
        <v>2020</v>
      </c>
      <c r="C3" s="24">
        <v>2021</v>
      </c>
      <c r="D3" s="24">
        <v>2022</v>
      </c>
      <c r="E3" s="24">
        <v>2023</v>
      </c>
      <c r="F3" s="24">
        <v>2024</v>
      </c>
      <c r="G3" s="24">
        <v>2025</v>
      </c>
      <c r="H3" s="24">
        <v>2026</v>
      </c>
      <c r="I3" s="24">
        <v>2027</v>
      </c>
      <c r="J3" s="24">
        <v>2028</v>
      </c>
      <c r="K3" s="24">
        <v>2029</v>
      </c>
      <c r="L3" s="24">
        <v>2030</v>
      </c>
    </row>
    <row r="4" spans="1:12" ht="18" customHeight="1">
      <c r="A4" s="2" t="s">
        <v>280</v>
      </c>
      <c r="B4" s="3">
        <f>'Model 3 sprawozdań'!B86</f>
        <v>0</v>
      </c>
      <c r="C4" s="3">
        <f>'Model 3 sprawozdań'!C86</f>
        <v>0</v>
      </c>
      <c r="D4" s="3">
        <f>'Model 3 sprawozdań'!D86</f>
        <v>0</v>
      </c>
      <c r="E4" s="3">
        <f>'Model 3 sprawozdań'!E86</f>
        <v>0</v>
      </c>
      <c r="F4" s="3">
        <f>'Model 3 sprawozdań'!F86</f>
        <v>0</v>
      </c>
      <c r="G4" s="3">
        <f>'Model 3 sprawozdań'!G86</f>
        <v>0</v>
      </c>
      <c r="H4" s="3">
        <f>'Model 3 sprawozdań'!H86</f>
        <v>0</v>
      </c>
      <c r="I4" s="3">
        <f>'Model 3 sprawozdań'!I86</f>
        <v>0</v>
      </c>
      <c r="J4" s="3">
        <f>'Model 3 sprawozdań'!J86</f>
        <v>0</v>
      </c>
      <c r="K4" s="3">
        <f>'Model 3 sprawozdań'!K86</f>
        <v>0</v>
      </c>
      <c r="L4" s="3">
        <f>'Model 3 sprawozdań'!L86</f>
        <v>0</v>
      </c>
    </row>
    <row r="5" spans="1:12" ht="18" customHeight="1">
      <c r="A5" s="2" t="s">
        <v>233</v>
      </c>
      <c r="B5" s="3">
        <f>'Model 3 sprawozdań'!B87</f>
        <v>0</v>
      </c>
      <c r="C5" s="3">
        <f>'Model 3 sprawozdań'!C87</f>
        <v>0</v>
      </c>
      <c r="D5" s="3">
        <f>'Model 3 sprawozdań'!D87</f>
        <v>0</v>
      </c>
      <c r="E5" s="3">
        <f>'Model 3 sprawozdań'!E87</f>
        <v>0</v>
      </c>
      <c r="F5" s="3">
        <f>'Model 3 sprawozdań'!F87</f>
        <v>0</v>
      </c>
      <c r="G5" s="3">
        <f>'Model 3 sprawozdań'!G87</f>
        <v>0</v>
      </c>
      <c r="H5" s="3">
        <f>'Model 3 sprawozdań'!H87</f>
        <v>0</v>
      </c>
      <c r="I5" s="3">
        <f>'Model 3 sprawozdań'!I87</f>
        <v>0</v>
      </c>
      <c r="J5" s="3">
        <f>'Model 3 sprawozdań'!J87</f>
        <v>0</v>
      </c>
      <c r="K5" s="3">
        <f>'Model 3 sprawozdań'!K87</f>
        <v>0</v>
      </c>
      <c r="L5" s="3">
        <f>'Model 3 sprawozdań'!L87</f>
        <v>0</v>
      </c>
    </row>
    <row r="6" spans="1:12" ht="18" customHeight="1">
      <c r="A6" s="2" t="s">
        <v>281</v>
      </c>
      <c r="B6" s="3">
        <f>'Dług i WACC'!B12-'Model 3 sprawozdań'!B88</f>
        <v>0</v>
      </c>
      <c r="C6" s="3">
        <f>'Dług i WACC'!C12-'Model 3 sprawozdań'!C88</f>
        <v>0</v>
      </c>
      <c r="D6" s="3">
        <f>'Dług i WACC'!D12-'Model 3 sprawozdań'!D88</f>
        <v>0</v>
      </c>
      <c r="E6" s="3">
        <f>'Dług i WACC'!E12-'Model 3 sprawozdań'!E88</f>
        <v>0</v>
      </c>
      <c r="F6" s="3">
        <f>'Dług i WACC'!F12-'Model 3 sprawozdań'!F88</f>
        <v>0</v>
      </c>
      <c r="G6" s="3">
        <f>'Dług i WACC'!G12-'Model 3 sprawozdań'!G88</f>
        <v>0</v>
      </c>
      <c r="H6" s="3">
        <f>'Dług i WACC'!H12-'Model 3 sprawozdań'!H88</f>
        <v>0</v>
      </c>
      <c r="I6" s="3">
        <f>'Dług i WACC'!I12-'Model 3 sprawozdań'!I88</f>
        <v>0</v>
      </c>
      <c r="J6" s="3">
        <f>'Dług i WACC'!J12-'Model 3 sprawozdań'!J88</f>
        <v>0</v>
      </c>
      <c r="K6" s="3">
        <f>'Dług i WACC'!K12-'Model 3 sprawozdań'!K88</f>
        <v>0</v>
      </c>
      <c r="L6" s="3">
        <f>'Dług i WACC'!L12-'Model 3 sprawozdań'!L88</f>
        <v>0</v>
      </c>
    </row>
    <row r="7" spans="1:12" ht="18" customHeight="1">
      <c r="A7" s="2" t="s">
        <v>282</v>
      </c>
      <c r="B7" s="3">
        <f>'Dług i WACC'!B13-'Model 3 sprawozdań'!B56</f>
        <v>0</v>
      </c>
      <c r="C7" s="3">
        <f>'Dług i WACC'!C13-'Model 3 sprawozdań'!C56</f>
        <v>0</v>
      </c>
      <c r="D7" s="3">
        <f>'Dług i WACC'!D13-'Model 3 sprawozdań'!D56</f>
        <v>0</v>
      </c>
      <c r="E7" s="3">
        <f>'Dług i WACC'!E13-'Model 3 sprawozdań'!E56</f>
        <v>0</v>
      </c>
      <c r="F7" s="3">
        <f>'Dług i WACC'!F13-'Model 3 sprawozdań'!F56</f>
        <v>0</v>
      </c>
      <c r="G7" s="3">
        <f>'Dług i WACC'!G13-'Model 3 sprawozdań'!G56</f>
        <v>0</v>
      </c>
      <c r="H7" s="3">
        <f>'Dług i WACC'!H13-'Model 3 sprawozdań'!H56</f>
        <v>0</v>
      </c>
      <c r="I7" s="3">
        <f>'Dług i WACC'!I13-'Model 3 sprawozdań'!I56</f>
        <v>0</v>
      </c>
      <c r="J7" s="3">
        <f>'Dług i WACC'!J13-'Model 3 sprawozdań'!J56</f>
        <v>0</v>
      </c>
      <c r="K7" s="3">
        <f>'Dług i WACC'!K13-'Model 3 sprawozdań'!K56</f>
        <v>0</v>
      </c>
      <c r="L7" s="3">
        <f>'Dług i WACC'!L13-'Model 3 sprawozdań'!L56</f>
        <v>0</v>
      </c>
    </row>
    <row r="8" spans="1:12" ht="18" customHeight="1">
      <c r="A8" s="2" t="s">
        <v>283</v>
      </c>
      <c r="B8" s="3"/>
      <c r="C8" s="3"/>
      <c r="D8" s="3"/>
      <c r="E8" s="3"/>
      <c r="F8" s="3"/>
      <c r="G8" s="3"/>
      <c r="H8" s="3">
        <f>'Wycena DCF'!B5-'Dług i WACC'!H38</f>
        <v>0</v>
      </c>
      <c r="I8" s="3"/>
      <c r="J8" s="3"/>
      <c r="K8" s="3"/>
      <c r="L8" s="3"/>
    </row>
    <row r="9" spans="1:12" ht="18" customHeight="1">
      <c r="A9" s="2" t="s">
        <v>284</v>
      </c>
      <c r="B9" s="3"/>
      <c r="C9" s="3"/>
      <c r="D9" s="3"/>
      <c r="E9" s="3"/>
      <c r="F9" s="3"/>
      <c r="G9" s="3"/>
      <c r="H9" s="3">
        <f>IF(ABS('Model 3 sprawozdań'!H35)&gt;ABS('Model 3 sprawozdań'!G35),0,1)</f>
        <v>0</v>
      </c>
      <c r="I9" s="3">
        <f>IF(ABS('Model 3 sprawozdań'!I35)&gt;ABS('Model 3 sprawozdań'!H35),0,1)</f>
        <v>0</v>
      </c>
      <c r="J9" s="3">
        <f>IF(ABS('Model 3 sprawozdań'!J35)&gt;ABS('Model 3 sprawozdań'!I35),0,1)</f>
        <v>0</v>
      </c>
      <c r="K9" s="3">
        <f>IF(ABS('Model 3 sprawozdań'!K35)&gt;ABS('Model 3 sprawozdań'!J35),0,1)</f>
        <v>0</v>
      </c>
      <c r="L9" s="3">
        <f>IF(ABS('Model 3 sprawozdań'!L35)&gt;ABS('Model 3 sprawozdań'!K35),0,1)</f>
        <v>0</v>
      </c>
    </row>
    <row r="10" spans="1:12" ht="18" customHeight="1">
      <c r="A10" s="2" t="s">
        <v>285</v>
      </c>
      <c r="B10" s="3"/>
      <c r="C10" s="3"/>
      <c r="D10" s="3"/>
      <c r="E10" s="3"/>
      <c r="F10" s="3"/>
      <c r="G10" s="3"/>
      <c r="H10" s="3">
        <f>'Wycena DCF'!B32+'Wycena DCF'!B31</f>
        <v>0</v>
      </c>
      <c r="I10" s="3"/>
      <c r="J10" s="3"/>
      <c r="K10" s="3"/>
      <c r="L10" s="3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Panel</vt:lpstr>
      <vt:lpstr>Założenia</vt:lpstr>
      <vt:lpstr>Dane źródłowe</vt:lpstr>
      <vt:lpstr>Czynniki operacyjne</vt:lpstr>
      <vt:lpstr>Model 3 sprawozdań</vt:lpstr>
      <vt:lpstr>Dług i WACC</vt:lpstr>
      <vt:lpstr>Wycena DCF</vt:lpstr>
      <vt:lpstr>Kontrole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Anatoly Daneiko</cp:lastModifiedBy>
  <dcterms:created xsi:type="dcterms:W3CDTF">2026-05-24T15:56:44Z</dcterms:created>
  <dcterms:modified xsi:type="dcterms:W3CDTF">2026-05-24T15:56:44Z</dcterms:modified>
</cp:coreProperties>
</file>